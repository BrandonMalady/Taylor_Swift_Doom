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hidePivotFieldList="1" defaultThemeVersion="166925"/>
  <mc:AlternateContent xmlns:mc="http://schemas.openxmlformats.org/markup-compatibility/2006">
    <mc:Choice Requires="x15">
      <x15ac:absPath xmlns:x15ac="http://schemas.microsoft.com/office/spreadsheetml/2010/11/ac" url="/Users/brandonmalady/Desktop/UT Austin Classes /Data Wrangling/"/>
    </mc:Choice>
  </mc:AlternateContent>
  <xr:revisionPtr revIDLastSave="0" documentId="13_ncr:1_{6201EE07-5679-0241-AF76-0C767C68BE69}" xr6:coauthVersionLast="47" xr6:coauthVersionMax="47" xr10:uidLastSave="{00000000-0000-0000-0000-000000000000}"/>
  <bookViews>
    <workbookView xWindow="3900" yWindow="2400" windowWidth="28040" windowHeight="17440" activeTab="4" xr2:uid="{04EBCD4A-B497-1B4A-B1A4-0DDE6992B82F}"/>
  </bookViews>
  <sheets>
    <sheet name="Planned STEPS" sheetId="1" r:id="rId1"/>
    <sheet name="FBI_CRIME" sheetId="2" r:id="rId2"/>
    <sheet name="Drugs" sheetId="3" r:id="rId3"/>
    <sheet name="Taylor_Swift_Interest" sheetId="4" r:id="rId4"/>
    <sheet name="Joined Table Manually " sheetId="5" r:id="rId5"/>
    <sheet name="CLEAN_CRIME" sheetId="8" r:id="rId6"/>
    <sheet name="CLEAN_DRUGS" sheetId="9" r:id="rId7"/>
    <sheet name="CLEAN_TS_INTEREST" sheetId="10" r:id="rId8"/>
    <sheet name="Visualizations" sheetId="6" r:id="rId9"/>
  </sheets>
  <calcPr calcId="181029"/>
  <pivotCaches>
    <pivotCache cacheId="5"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5" i="4" l="1"/>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4" i="4"/>
  <c r="B262" i="4"/>
  <c r="A57" i="3"/>
  <c r="A58" i="3"/>
  <c r="A59" i="3"/>
  <c r="A60" i="3"/>
  <c r="A61" i="3"/>
  <c r="A62" i="3"/>
  <c r="A63" i="3"/>
  <c r="A64" i="3"/>
  <c r="A65" i="3"/>
  <c r="A66" i="3"/>
  <c r="A67" i="3"/>
  <c r="A68" i="3"/>
  <c r="A69" i="3"/>
  <c r="A70" i="3"/>
  <c r="A71" i="3"/>
  <c r="A72" i="3"/>
  <c r="A73" i="3"/>
  <c r="A74" i="3"/>
  <c r="A75" i="3"/>
  <c r="A76" i="3"/>
  <c r="A5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04A0D5-005F-BB47-9435-34C901B5B128}" keepAlive="1" name="Query - CLEAN_CRIME" description="Connection to the 'CLEAN_CRIME' query in the workbook." type="5" refreshedVersion="8" background="1" saveData="1">
    <dbPr connection="Provider=Microsoft.Mashup.OleDb.1;Data Source=$Workbook$;Location=CLEAN_CRIME;Extended Properties=&quot;&quot;" command="SELECT * FROM [CLEAN_CRIME]"/>
  </connection>
  <connection id="2" xr16:uid="{F0DF31DC-1609-7842-BC19-D6F9A8B62E2A}" keepAlive="1" name="Query - CLEAN_DRUGS" description="Connection to the 'CLEAN_DRUGS' query in the workbook." type="5" refreshedVersion="8" background="1" saveData="1">
    <dbPr connection="Provider=Microsoft.Mashup.OleDb.1;Data Source=$Workbook$;Location=CLEAN_DRUGS;Extended Properties=&quot;&quot;" command="SELECT * FROM [CLEAN_DRUGS]"/>
  </connection>
  <connection id="3" xr16:uid="{97938452-596B-CC41-A0F8-93292F0409FD}" keepAlive="1" name="Query - CLEAN_TS_INTEREST" description="Connection to the 'CLEAN_TS_INTEREST' query in the workbook." type="5" refreshedVersion="0" background="1">
    <dbPr connection="Provider=Microsoft.Mashup.OleDb.1;Data Source=$Workbook$;Location=CLEAN_TS_INTEREST;Extended Properties=&quot;&quot;" command="SELECT * FROM [CLEAN_TS_INTEREST]"/>
  </connection>
  <connection id="4" xr16:uid="{F6E801A0-8D54-3D4C-A320-C06C9D0F167D}" keepAlive="1" name="Query - FBI_CRIME" description="Connection to the 'FBI_CRIME' query in the workbook." type="5" refreshedVersion="0" background="1">
    <dbPr connection="Provider=Microsoft.Mashup.OleDb.1;Data Source=$Workbook$;Location=FBI_CRIME;Extended Properties=&quot;&quot;" command="SELECT * FROM [FBI_CRIME]"/>
  </connection>
</connections>
</file>

<file path=xl/sharedStrings.xml><?xml version="1.0" encoding="utf-8"?>
<sst xmlns="http://schemas.openxmlformats.org/spreadsheetml/2006/main" count="807" uniqueCount="373">
  <si>
    <t xml:space="preserve">EXCEL PART OF PROJECT </t>
  </si>
  <si>
    <t>Table 1</t>
  </si>
  <si>
    <t xml:space="preserve"> </t>
  </si>
  <si>
    <t>Crime in the United States</t>
  </si>
  <si>
    <t xml:space="preserve">by Volume and Rate per 100,000 Inhabitants, 2000–2019 </t>
  </si>
  <si>
    <t>Year</t>
  </si>
  <si>
    <r>
      <t>Population</t>
    </r>
    <r>
      <rPr>
        <vertAlign val="superscript"/>
        <sz val="9"/>
        <rFont val="Times New Roman"/>
        <family val="1"/>
      </rPr>
      <t>1</t>
    </r>
  </si>
  <si>
    <r>
      <t>Violent</t>
    </r>
    <r>
      <rPr>
        <b/>
        <sz val="9"/>
        <rFont val="Times New Roman"/>
        <family val="1"/>
      </rPr>
      <t xml:space="preserve">
crime</t>
    </r>
    <r>
      <rPr>
        <b/>
        <vertAlign val="superscript"/>
        <sz val="9"/>
        <rFont val="Times New Roman"/>
        <family val="1"/>
      </rPr>
      <t>2</t>
    </r>
  </si>
  <si>
    <t xml:space="preserve">Violent 
crime 
rate </t>
  </si>
  <si>
    <t>Murder and
nonnegligent 
manslaughter</t>
  </si>
  <si>
    <t xml:space="preserve">Murder and 
nonnegligent 
manslaughter 
rate </t>
  </si>
  <si>
    <r>
      <t>Rape
(revised 
definition)</t>
    </r>
    <r>
      <rPr>
        <vertAlign val="superscript"/>
        <sz val="9"/>
        <rFont val="Times New Roman"/>
        <family val="1"/>
      </rPr>
      <t>3</t>
    </r>
  </si>
  <si>
    <r>
      <t>Rape
(revised 
definition) 
rate</t>
    </r>
    <r>
      <rPr>
        <i/>
        <vertAlign val="superscript"/>
        <sz val="9"/>
        <rFont val="Times New Roman"/>
        <family val="1"/>
      </rPr>
      <t>3</t>
    </r>
  </si>
  <si>
    <r>
      <t>Rape
(legacy 
definition)</t>
    </r>
    <r>
      <rPr>
        <vertAlign val="superscript"/>
        <sz val="9"/>
        <rFont val="Times New Roman"/>
        <family val="1"/>
      </rPr>
      <t>4</t>
    </r>
  </si>
  <si>
    <r>
      <t>Rape
(legacy 
definition) 
rate</t>
    </r>
    <r>
      <rPr>
        <i/>
        <vertAlign val="superscript"/>
        <sz val="9"/>
        <rFont val="Times New Roman"/>
        <family val="1"/>
      </rPr>
      <t>4</t>
    </r>
  </si>
  <si>
    <t>Robbery</t>
  </si>
  <si>
    <t xml:space="preserve">Robbery 
rate </t>
  </si>
  <si>
    <t>Aggravated 
assault</t>
  </si>
  <si>
    <t xml:space="preserve">Aggravated 
assault rate </t>
  </si>
  <si>
    <t>Property 
crime</t>
  </si>
  <si>
    <t xml:space="preserve">Property 
crime 
rate </t>
  </si>
  <si>
    <t>Burglary</t>
  </si>
  <si>
    <t xml:space="preserve">Burglary 
rate </t>
  </si>
  <si>
    <t>Larceny-
theft</t>
  </si>
  <si>
    <t xml:space="preserve">Larceny-
theft rate </t>
  </si>
  <si>
    <t>Motor 
vehicle 
theft</t>
  </si>
  <si>
    <t xml:space="preserve">Motor 
vehicle 
theft 
rate </t>
  </si>
  <si>
    <r>
      <t>2001</t>
    </r>
    <r>
      <rPr>
        <vertAlign val="superscript"/>
        <sz val="9"/>
        <rFont val="Times New Roman"/>
        <family val="1"/>
      </rPr>
      <t>5</t>
    </r>
  </si>
  <si>
    <t>2003</t>
  </si>
  <si>
    <t>2004</t>
  </si>
  <si>
    <t>2005</t>
  </si>
  <si>
    <t>2006</t>
  </si>
  <si>
    <t>2007</t>
  </si>
  <si>
    <t>2008</t>
  </si>
  <si>
    <t>2009</t>
  </si>
  <si>
    <t>2010</t>
  </si>
  <si>
    <t>2011</t>
  </si>
  <si>
    <t>2012</t>
  </si>
  <si>
    <t>2013</t>
  </si>
  <si>
    <t>2014</t>
  </si>
  <si>
    <t>2015</t>
  </si>
  <si>
    <t>2016</t>
  </si>
  <si>
    <t>2017</t>
  </si>
  <si>
    <r>
      <t>2018</t>
    </r>
    <r>
      <rPr>
        <vertAlign val="superscript"/>
        <sz val="9"/>
        <rFont val="Times New Roman"/>
        <family val="1"/>
      </rPr>
      <t>6</t>
    </r>
  </si>
  <si>
    <t>2019</t>
  </si>
  <si>
    <r>
      <t>1</t>
    </r>
    <r>
      <rPr>
        <sz val="9"/>
        <rFont val="Times New Roman"/>
        <family val="1"/>
      </rPr>
      <t xml:space="preserve"> Populations are U.S. Census Bureau provisional estimates as of July 1 for each year except 2000 and 2010, which are decennial census counts.</t>
    </r>
  </si>
  <si>
    <r>
      <t>2</t>
    </r>
    <r>
      <rPr>
        <sz val="9"/>
        <rFont val="Times New Roman"/>
        <family val="1"/>
      </rPr>
      <t xml:space="preserve"> The violent crime figures include the offenses of murder, rape (legacy definition), robbery, and aggravated assault.</t>
    </r>
  </si>
  <si>
    <r>
      <rPr>
        <vertAlign val="superscript"/>
        <sz val="9"/>
        <rFont val="Times New Roman"/>
        <family val="1"/>
      </rPr>
      <t xml:space="preserve">3 </t>
    </r>
    <r>
      <rPr>
        <sz val="9"/>
        <rFont val="Times New Roman"/>
        <family val="1"/>
      </rPr>
      <t>The figures shown in this column for the offense of rape were estimated using the revised UCR definition of rape. See data declaration for further explanation.</t>
    </r>
  </si>
  <si>
    <r>
      <rPr>
        <vertAlign val="superscript"/>
        <sz val="9"/>
        <rFont val="Times New Roman"/>
        <family val="1"/>
      </rPr>
      <t xml:space="preserve">4 </t>
    </r>
    <r>
      <rPr>
        <sz val="9"/>
        <rFont val="Times New Roman"/>
        <family val="1"/>
      </rPr>
      <t>The figures shown in this column for the offense of rape were estimated using the legacy UCR definition of rape. See data declaration for further explanation.</t>
    </r>
  </si>
  <si>
    <r>
      <t>5</t>
    </r>
    <r>
      <rPr>
        <sz val="9"/>
        <rFont val="Times New Roman"/>
        <family val="1"/>
      </rPr>
      <t xml:space="preserve"> The murder and nonnegligent homicides that occurred as a result of the events of September 11, 2001, are not included in this table.</t>
    </r>
  </si>
  <si>
    <r>
      <t xml:space="preserve">6 </t>
    </r>
    <r>
      <rPr>
        <sz val="9"/>
        <rFont val="Times New Roman"/>
        <family val="1"/>
      </rPr>
      <t>The crime figures have been adjusted.</t>
    </r>
  </si>
  <si>
    <t>NOTE:  Although arson data are included in the trend and clearance tables, sufficient data are not available to estimate totals for this offense. Therefore, no arson data are published in this table.</t>
  </si>
  <si>
    <r>
      <rPr>
        <b/>
        <sz val="8"/>
        <rFont val="Arial"/>
        <family val="2"/>
      </rPr>
      <t xml:space="preserve">Data table for Figure 1. Age-adjusted rate of drug overdose deaths, by sex: United States,
</t>
    </r>
    <r>
      <rPr>
        <b/>
        <sz val="8"/>
        <rFont val="Arial"/>
        <family val="2"/>
      </rPr>
      <t>2001–2021</t>
    </r>
  </si>
  <si>
    <r>
      <rPr>
        <sz val="8"/>
        <rFont val="Arial"/>
        <family val="2"/>
      </rPr>
      <t>Total</t>
    </r>
  </si>
  <si>
    <r>
      <rPr>
        <sz val="8"/>
        <rFont val="Arial"/>
        <family val="2"/>
      </rPr>
      <t>Male</t>
    </r>
  </si>
  <si>
    <r>
      <rPr>
        <sz val="8"/>
        <rFont val="Arial"/>
        <family val="2"/>
      </rPr>
      <t>Female</t>
    </r>
  </si>
  <si>
    <r>
      <rPr>
        <sz val="8"/>
        <rFont val="Arial"/>
        <family val="2"/>
      </rPr>
      <t>Year</t>
    </r>
  </si>
  <si>
    <r>
      <rPr>
        <sz val="8"/>
        <rFont val="Arial"/>
        <family val="2"/>
      </rPr>
      <t>Number of deaths</t>
    </r>
  </si>
  <si>
    <r>
      <rPr>
        <sz val="8"/>
        <rFont val="Arial"/>
        <family val="2"/>
      </rPr>
      <t>Deaths per 100,000</t>
    </r>
  </si>
  <si>
    <r>
      <rPr>
        <sz val="8"/>
        <rFont val="Arial"/>
        <family val="2"/>
      </rPr>
      <t>2001. . . . . . . .</t>
    </r>
  </si>
  <si>
    <r>
      <rPr>
        <sz val="8"/>
        <rFont val="Arial"/>
        <family val="2"/>
      </rPr>
      <t>2002. . . . . . . .</t>
    </r>
  </si>
  <si>
    <r>
      <rPr>
        <sz val="8"/>
        <rFont val="Arial"/>
        <family val="2"/>
      </rPr>
      <t>2003. . . . . . . .</t>
    </r>
  </si>
  <si>
    <r>
      <rPr>
        <sz val="8"/>
        <rFont val="Arial"/>
        <family val="2"/>
      </rPr>
      <t>2004. . . . . . . .</t>
    </r>
  </si>
  <si>
    <r>
      <rPr>
        <sz val="8"/>
        <rFont val="Arial"/>
        <family val="2"/>
      </rPr>
      <t>2005. . . . . . . .</t>
    </r>
  </si>
  <si>
    <r>
      <rPr>
        <sz val="8"/>
        <rFont val="Arial"/>
        <family val="2"/>
      </rPr>
      <t>2006. . . . . . . .</t>
    </r>
  </si>
  <si>
    <r>
      <rPr>
        <sz val="8"/>
        <rFont val="Arial"/>
        <family val="2"/>
      </rPr>
      <t>2007. . . . . . . .</t>
    </r>
  </si>
  <si>
    <r>
      <rPr>
        <sz val="8"/>
        <rFont val="Arial"/>
        <family val="2"/>
      </rPr>
      <t>2008. . . . . . . .</t>
    </r>
  </si>
  <si>
    <r>
      <rPr>
        <sz val="8"/>
        <rFont val="Arial"/>
        <family val="2"/>
      </rPr>
      <t>2009. . . . . . . .</t>
    </r>
  </si>
  <si>
    <r>
      <rPr>
        <sz val="8"/>
        <rFont val="Arial"/>
        <family val="2"/>
      </rPr>
      <t>2010. . . . . . . .</t>
    </r>
  </si>
  <si>
    <r>
      <rPr>
        <sz val="8"/>
        <rFont val="Arial"/>
        <family val="2"/>
      </rPr>
      <t>2011 . . . . . . . .</t>
    </r>
  </si>
  <si>
    <r>
      <rPr>
        <sz val="8"/>
        <rFont val="Arial"/>
        <family val="2"/>
      </rPr>
      <t>2012. . . . . . . .</t>
    </r>
  </si>
  <si>
    <r>
      <rPr>
        <sz val="8"/>
        <rFont val="Arial"/>
        <family val="2"/>
      </rPr>
      <t>2013. . . . . . . .</t>
    </r>
  </si>
  <si>
    <r>
      <rPr>
        <sz val="8"/>
        <rFont val="Arial"/>
        <family val="2"/>
      </rPr>
      <t>2014. . . . . . . .</t>
    </r>
  </si>
  <si>
    <r>
      <rPr>
        <sz val="8"/>
        <rFont val="Arial"/>
        <family val="2"/>
      </rPr>
      <t>2015. . . . . . . .</t>
    </r>
  </si>
  <si>
    <r>
      <rPr>
        <sz val="8"/>
        <rFont val="Arial"/>
        <family val="2"/>
      </rPr>
      <t>2016. . . . . . . .</t>
    </r>
  </si>
  <si>
    <r>
      <rPr>
        <sz val="8"/>
        <rFont val="Arial"/>
        <family val="2"/>
      </rPr>
      <t>2017. . . . . . . .</t>
    </r>
  </si>
  <si>
    <r>
      <rPr>
        <sz val="8"/>
        <rFont val="Arial"/>
        <family val="2"/>
      </rPr>
      <t>2018. . . . . . . .</t>
    </r>
  </si>
  <si>
    <r>
      <rPr>
        <sz val="8"/>
        <rFont val="Arial"/>
        <family val="2"/>
      </rPr>
      <t>2019. . . . . . . .</t>
    </r>
  </si>
  <si>
    <r>
      <rPr>
        <sz val="8"/>
        <rFont val="Arial"/>
        <family val="2"/>
      </rPr>
      <t>2020. . . . . . . .</t>
    </r>
  </si>
  <si>
    <r>
      <rPr>
        <sz val="8"/>
        <rFont val="Arial"/>
        <family val="2"/>
      </rPr>
      <t>2021. . . . . . . .</t>
    </r>
  </si>
  <si>
    <t>Taylor_Interest_Over_Time</t>
  </si>
  <si>
    <t>Category: All categories</t>
  </si>
  <si>
    <t>Month</t>
  </si>
  <si>
    <t>taylor swift: (United States)</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</si>
  <si>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</si>
  <si>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</si>
  <si>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</si>
  <si>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</si>
  <si>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</si>
  <si>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</si>
  <si>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</si>
  <si>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</si>
  <si>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</si>
  <si>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</si>
  <si>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</si>
  <si>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</si>
  <si>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</si>
  <si>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</si>
  <si>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</si>
  <si>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</si>
  <si>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</si>
  <si>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</si>
  <si>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</si>
  <si>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</si>
  <si>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&lt;1</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</si>
  <si>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</si>
  <si>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</si>
  <si>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</si>
  <si>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</si>
  <si>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</si>
  <si>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</si>
  <si>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</si>
  <si>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</si>
  <si>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</si>
  <si>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</si>
  <si>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</si>
  <si>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</si>
  <si>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</si>
  <si>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</si>
  <si>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</si>
  <si>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</si>
  <si>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</si>
  <si>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</si>
  <si>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</si>
  <si>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</si>
  <si>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</si>
  <si>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</si>
  <si>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</si>
  <si>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</si>
  <si>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</si>
  <si>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</si>
  <si>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</si>
  <si>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</si>
  <si>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</si>
  <si>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</si>
  <si>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</si>
  <si>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</si>
  <si>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</si>
  <si>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</si>
  <si>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</si>
  <si>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</si>
  <si>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</si>
  <si>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</si>
  <si>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</si>
  <si>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</si>
  <si>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</si>
  <si>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</si>
  <si>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</si>
  <si>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</si>
  <si>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</si>
  <si>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</si>
  <si>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</si>
  <si>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</si>
  <si>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</si>
  <si>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</si>
  <si>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</si>
  <si>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</si>
  <si>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</si>
  <si>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</si>
  <si>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</si>
  <si>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</si>
  <si>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</si>
  <si>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</si>
  <si>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</si>
  <si>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</si>
  <si>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</si>
  <si>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</si>
  <si>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</si>
  <si>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</si>
  <si>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</si>
  <si>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</si>
  <si>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</si>
  <si>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</si>
  <si>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</si>
  <si>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</si>
  <si>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</si>
  <si>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</si>
  <si>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</si>
  <si>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</si>
  <si>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</si>
  <si>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</si>
  <si>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</si>
  <si>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</si>
  <si>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</si>
  <si>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</si>
  <si>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</si>
  <si>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</si>
  <si>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</si>
  <si>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</si>
  <si>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</si>
  <si>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</si>
  <si>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</si>
  <si>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</si>
  <si>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</si>
  <si>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</si>
  <si>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</si>
  <si>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</si>
  <si>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</si>
  <si>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</si>
  <si>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</si>
  <si>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</si>
  <si>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</si>
  <si>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</si>
  <si>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</si>
  <si>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</si>
  <si>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</si>
  <si>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</si>
  <si>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</si>
  <si>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</si>
  <si>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</si>
  <si>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</si>
  <si>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</si>
  <si>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</si>
  <si>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</si>
  <si>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</si>
  <si>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</si>
  <si>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</si>
  <si>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</si>
  <si>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</si>
  <si>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</si>
  <si>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</si>
  <si>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</si>
  <si>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</si>
  <si>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</si>
  <si>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</si>
  <si>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</si>
  <si>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</si>
  <si>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</si>
  <si>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</si>
  <si>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</si>
  <si>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</si>
  <si>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</si>
  <si>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</si>
  <si>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</si>
  <si>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</si>
  <si>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</si>
  <si>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</si>
  <si>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</si>
  <si>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</si>
  <si>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</si>
  <si>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</si>
  <si>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</si>
  <si>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</si>
  <si>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</si>
  <si>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</si>
  <si>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</si>
  <si>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</si>
  <si>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</si>
  <si>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</si>
  <si>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</si>
  <si>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</si>
  <si>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</si>
  <si>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</si>
  <si>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</si>
  <si>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</si>
  <si>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</si>
  <si>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</si>
  <si>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</si>
  <si>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</si>
  <si>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</si>
  <si>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</si>
  <si>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</si>
  <si>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</si>
  <si>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</si>
  <si>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</si>
  <si>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</si>
  <si>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</si>
  <si>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</si>
  <si>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</si>
  <si>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</si>
  <si>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</si>
  <si>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</si>
  <si>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</si>
  <si>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</si>
  <si>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</si>
  <si>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</si>
  <si>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</si>
  <si>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</si>
  <si>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</si>
  <si>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</si>
  <si>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</si>
  <si>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</si>
  <si>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</si>
  <si>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</si>
  <si>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</si>
  <si>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</si>
  <si>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</si>
  <si>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</si>
  <si>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</si>
  <si>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</si>
  <si>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</si>
  <si>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</si>
  <si>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</si>
  <si>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</si>
  <si>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</si>
  <si>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</si>
  <si>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</si>
  <si>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</si>
  <si>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</si>
  <si>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</si>
  <si>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</si>
  <si>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</si>
  <si>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</si>
  <si>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</si>
  <si>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</si>
  <si>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</si>
  <si>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</si>
  <si>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</si>
  <si>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</si>
  <si>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</si>
  <si>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</si>
  <si>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</si>
  <si>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</si>
  <si>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</si>
  <si>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</si>
  <si>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</si>
  <si>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</si>
  <si>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</si>
  <si>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</si>
  <si>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</si>
  <si>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</si>
  <si>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</si>
  <si>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</si>
  <si>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</si>
  <si>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</si>
  <si>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</si>
  <si>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</si>
  <si>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</si>
  <si>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</si>
  <si>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</si>
  <si>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</si>
  <si>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</si>
  <si>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</si>
  <si>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</si>
  <si>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</si>
  <si>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STEP2: Wrangle the Source Data (this is done in each tab for that specific table)</t>
  </si>
  <si>
    <t xml:space="preserve">Step 1: I only want the crime rate and year columns </t>
  </si>
  <si>
    <t xml:space="preserve">STEP 2: Fix Typos presented by the footnotes in the graph </t>
  </si>
  <si>
    <t>2001</t>
  </si>
  <si>
    <t>2018</t>
  </si>
  <si>
    <t>Step 1: Select Year and number of deaths</t>
  </si>
  <si>
    <t xml:space="preserve">Step 2: Delete the …... From the Year columns </t>
  </si>
  <si>
    <t xml:space="preserve">Year </t>
  </si>
  <si>
    <t>Formula Used =LEFT(A32, FIND(".", A32) - 1)</t>
  </si>
  <si>
    <t xml:space="preserve">Finalized Table Ready for Subsequent Join </t>
  </si>
  <si>
    <t>This formula works by finding the position of the first dot and then extracting all characters to the left of it.</t>
  </si>
  <si>
    <t xml:space="preserve">STEP 1: Get the year </t>
  </si>
  <si>
    <t>Formula used to extract year: LEFT(B7,4)</t>
  </si>
  <si>
    <t>YEAR</t>
  </si>
  <si>
    <t xml:space="preserve">STEP 1: Break down by YEAR </t>
  </si>
  <si>
    <t>2020</t>
  </si>
  <si>
    <t>2021</t>
  </si>
  <si>
    <t>2022</t>
  </si>
  <si>
    <t>2023</t>
  </si>
  <si>
    <t>2024</t>
  </si>
  <si>
    <t xml:space="preserve">STEP 2: Find and replace the &lt;1 with 0.5 for ease of use used ctrl H to do this </t>
  </si>
  <si>
    <t>Row Labels</t>
  </si>
  <si>
    <t>Grand Total</t>
  </si>
  <si>
    <t>Sum of taylor swift: (United States)</t>
  </si>
  <si>
    <t>Step 3: Sum popularity values for each year (used a pivot table to sum interest per year)</t>
  </si>
  <si>
    <t xml:space="preserve">Step 4: Finalized Table for use </t>
  </si>
  <si>
    <t xml:space="preserve">Interest </t>
  </si>
  <si>
    <t xml:space="preserve">STEP 3: Join to get the master table </t>
  </si>
  <si>
    <t xml:space="preserve">STEP 4: Visulaize </t>
  </si>
  <si>
    <t>Manually Joined with COPY/ PASTE</t>
  </si>
  <si>
    <t>Number of deaths from Overdose</t>
  </si>
  <si>
    <t xml:space="preserve">Taylor Swift Interest </t>
  </si>
  <si>
    <t>Finalized Master Table Which can be visualized with graphs</t>
  </si>
  <si>
    <t>STEP 1: Create one excel Workbook with each tab containing a source data: FBI CRIME, DRUG OVERDOSES, AND TAYLOR SWIFT GOOGL TRENDS DATA</t>
  </si>
  <si>
    <t>2002</t>
  </si>
  <si>
    <t xml:space="preserve">Use a power QUERY  to perform the Join operation such as VLOOKUP or MATCH </t>
  </si>
  <si>
    <t>Number of deaths</t>
  </si>
  <si>
    <t xml:space="preserve">2011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</si>
</sst>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2"/>
      <color theme="1"/>
      <name val="Calibri"/>
      <family val="2"/>
      <scheme val="minor"/>
    </font>
    <font>
      <sz val="12"/>
      <color rgb="FFFF0000"/>
      <name val="Calibri"/>
      <family val="2"/>
      <scheme val="minor"/>
    </font>
    <font>
      <b/>
      <sz val="9"/>
      <name val="Times New Roman"/>
      <family val="1"/>
    </font>
    <font>
      <sz val="9"/>
      <name val="Times New Roman"/>
      <family val="1"/>
    </font>
    <font>
      <vertAlign val="superscript"/>
      <sz val="9"/>
      <name val="Times New Roman"/>
      <family val="1"/>
    </font>
    <font>
      <b/>
      <vertAlign val="superscript"/>
      <sz val="9"/>
      <name val="Times New Roman"/>
      <family val="1"/>
    </font>
    <font>
      <i/>
      <sz val="9"/>
      <name val="Times New Roman"/>
      <family val="1"/>
    </font>
    <font>
      <i/>
      <vertAlign val="superscript"/>
      <sz val="9"/>
      <name val="Times New Roman"/>
      <family val="1"/>
    </font>
    <font>
      <sz val="9"/>
      <name val="Arial"/>
      <family val="2"/>
    </font>
    <font>
      <b/>
      <sz val="8"/>
      <name val="Arial"/>
      <family val="2"/>
    </font>
    <font>
      <sz val="8"/>
      <name val="Arial"/>
      <family val="2"/>
    </font>
    <font>
      <sz val="8"/>
      <color rgb="FF000000"/>
      <name val="Arial"/>
      <family val="2"/>
    </font>
    <font>
      <sz val="12"/>
      <color indexed="8"/>
      <name val="Helvetica Neue"/>
      <family val="2"/>
    </font>
    <font>
      <b/>
      <sz val="10"/>
      <color indexed="8"/>
      <name val="Helvetica Neue"/>
      <family val="2"/>
    </font>
    <font>
      <sz val="12"/>
      <name val="Arial"/>
      <family val="2"/>
    </font>
    <font>
      <sz val="16"/>
      <color rgb="FFFFFFFF"/>
      <name val="Times"/>
      <family val="1"/>
    </font>
    <font>
      <sz val="12"/>
      <color rgb="FFFF0000"/>
      <name val="Helvetica Neue"/>
      <family val="2"/>
    </font>
    <font>
      <sz val="12"/>
      <color rgb="FF000000"/>
      <name val="Calibri"/>
      <family val="2"/>
      <scheme val="minor"/>
    </font>
    <font>
      <i/>
      <sz val="9"/>
      <name val="Arial"/>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1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s>
  <cellStyleXfs count="1">
    <xf numFmtId="0" fontId="0" fillId="0" borderId="0"/>
  </cellStyleXfs>
  <cellXfs count="71">
    <xf numFmtId="0" fontId="0" fillId="0" borderId="0" xfId="0"/>
    <xf numFmtId="0" fontId="2" fillId="0" borderId="1" xfId="0" applyFont="1" applyBorder="1"/>
    <xf numFmtId="3" fontId="3" fillId="0" borderId="1" xfId="0" applyNumberFormat="1" applyFont="1" applyBorder="1"/>
    <xf numFmtId="164" fontId="3" fillId="0" borderId="1" xfId="0" applyNumberFormat="1" applyFont="1" applyBorder="1"/>
    <xf numFmtId="0" fontId="2" fillId="0" borderId="2" xfId="0" applyFont="1" applyBorder="1" applyAlignment="1">
      <alignment horizontal="left" vertical="center"/>
    </xf>
    <xf numFmtId="0" fontId="2" fillId="0" borderId="2" xfId="0" applyFont="1" applyBorder="1" applyAlignment="1">
      <alignment horizontal="left" vertical="center" wrapText="1"/>
    </xf>
    <xf numFmtId="0" fontId="2" fillId="0" borderId="0" xfId="0" applyFont="1" applyAlignment="1">
      <alignment horizontal="left" vertical="center" wrapText="1"/>
    </xf>
    <xf numFmtId="0" fontId="3" fillId="0" borderId="0" xfId="0" applyFont="1"/>
    <xf numFmtId="3" fontId="3" fillId="0" borderId="0" xfId="0" applyNumberFormat="1" applyFont="1"/>
    <xf numFmtId="164" fontId="3" fillId="0" borderId="0" xfId="0" applyNumberFormat="1" applyFont="1"/>
    <xf numFmtId="0" fontId="3" fillId="0" borderId="3" xfId="0" applyFont="1" applyBorder="1" applyAlignment="1">
      <alignment horizontal="center" wrapText="1"/>
    </xf>
    <xf numFmtId="0" fontId="2" fillId="0" borderId="3" xfId="0" applyFont="1" applyBorder="1" applyAlignment="1">
      <alignment horizontal="center" wrapText="1"/>
    </xf>
    <xf numFmtId="0" fontId="6" fillId="0" borderId="3" xfId="0" applyFont="1" applyBorder="1" applyAlignment="1">
      <alignment horizontal="center" wrapText="1"/>
    </xf>
    <xf numFmtId="49" fontId="3" fillId="0" borderId="0" xfId="0" applyNumberFormat="1" applyFont="1" applyAlignment="1">
      <alignment horizontal="left" indent="1"/>
    </xf>
    <xf numFmtId="3" fontId="3" fillId="0" borderId="0" xfId="0" applyNumberFormat="1" applyFont="1" applyAlignment="1">
      <alignment horizontal="right"/>
    </xf>
    <xf numFmtId="164" fontId="3" fillId="0" borderId="0" xfId="0" applyNumberFormat="1" applyFont="1" applyAlignment="1">
      <alignment horizontal="right" indent="1"/>
    </xf>
    <xf numFmtId="164" fontId="3" fillId="0" borderId="0" xfId="0" applyNumberFormat="1" applyFont="1" applyAlignment="1">
      <alignment horizontal="right"/>
    </xf>
    <xf numFmtId="0" fontId="4" fillId="0" borderId="2" xfId="0" applyFont="1" applyBorder="1"/>
    <xf numFmtId="0" fontId="0" fillId="0" borderId="2" xfId="0" applyBorder="1" applyAlignment="1">
      <alignment wrapText="1"/>
    </xf>
    <xf numFmtId="0" fontId="3" fillId="0" borderId="2" xfId="0" applyFont="1" applyBorder="1"/>
    <xf numFmtId="0" fontId="4" fillId="0" borderId="0" xfId="0" applyFont="1"/>
    <xf numFmtId="0" fontId="8" fillId="0" borderId="0" xfId="0" applyFont="1"/>
    <xf numFmtId="0" fontId="4" fillId="0" borderId="0" xfId="0" applyFont="1" applyAlignment="1">
      <alignment wrapText="1"/>
    </xf>
    <xf numFmtId="0" fontId="3" fillId="0" borderId="0" xfId="0" applyFont="1" applyAlignment="1">
      <alignment wrapText="1"/>
    </xf>
    <xf numFmtId="0" fontId="0" fillId="0" borderId="0" xfId="0" applyAlignment="1">
      <alignment horizontal="left" vertical="top" wrapText="1"/>
    </xf>
    <xf numFmtId="0" fontId="10" fillId="0" borderId="4" xfId="0" applyFont="1" applyBorder="1" applyAlignment="1">
      <alignment horizontal="left" vertical="top" wrapText="1" indent="12"/>
    </xf>
    <xf numFmtId="0" fontId="10" fillId="0" borderId="5" xfId="0" applyFont="1" applyBorder="1" applyAlignment="1">
      <alignment horizontal="center" vertical="top" wrapText="1"/>
    </xf>
    <xf numFmtId="0" fontId="0" fillId="0" borderId="0" xfId="0" applyAlignment="1">
      <alignment horizontal="left" vertical="center" wrapText="1"/>
    </xf>
    <xf numFmtId="0" fontId="10" fillId="0" borderId="6" xfId="0" applyFont="1" applyBorder="1" applyAlignment="1">
      <alignment horizontal="center" vertical="center" wrapText="1"/>
    </xf>
    <xf numFmtId="0" fontId="10" fillId="0" borderId="5" xfId="0" applyFont="1" applyBorder="1" applyAlignment="1">
      <alignment horizontal="left" vertical="top" wrapText="1"/>
    </xf>
    <xf numFmtId="0" fontId="10" fillId="0" borderId="5" xfId="0" applyFont="1" applyBorder="1" applyAlignment="1">
      <alignment horizontal="left" vertical="top" wrapText="1" indent="1"/>
    </xf>
    <xf numFmtId="0" fontId="0" fillId="0" borderId="6" xfId="0" applyBorder="1" applyAlignment="1">
      <alignment horizontal="left" vertical="top" wrapText="1"/>
    </xf>
    <xf numFmtId="0" fontId="10" fillId="0" borderId="5" xfId="0" applyFont="1" applyBorder="1" applyAlignment="1">
      <alignment horizontal="left" vertical="top" wrapText="1"/>
    </xf>
    <xf numFmtId="0" fontId="10" fillId="0" borderId="4" xfId="0" applyFont="1" applyBorder="1" applyAlignment="1">
      <alignment horizontal="center" vertical="top" wrapText="1"/>
    </xf>
    <xf numFmtId="3" fontId="11" fillId="0" borderId="4" xfId="0" applyNumberFormat="1" applyFont="1" applyBorder="1" applyAlignment="1">
      <alignment horizontal="center" vertical="top" shrinkToFit="1"/>
    </xf>
    <xf numFmtId="165" fontId="11" fillId="0" borderId="4" xfId="0" applyNumberFormat="1" applyFont="1" applyBorder="1" applyAlignment="1">
      <alignment horizontal="right" vertical="top" indent="2" shrinkToFit="1"/>
    </xf>
    <xf numFmtId="0" fontId="0" fillId="0" borderId="4" xfId="0" applyBorder="1" applyAlignment="1">
      <alignment horizontal="left" vertical="center" wrapText="1"/>
    </xf>
    <xf numFmtId="3" fontId="11" fillId="0" borderId="4" xfId="0" applyNumberFormat="1" applyFont="1" applyBorder="1" applyAlignment="1">
      <alignment horizontal="center" vertical="top" shrinkToFit="1"/>
    </xf>
    <xf numFmtId="165" fontId="11" fillId="0" borderId="4" xfId="0" applyNumberFormat="1" applyFont="1" applyBorder="1" applyAlignment="1">
      <alignment horizontal="center" vertical="top" shrinkToFit="1"/>
    </xf>
    <xf numFmtId="0" fontId="10" fillId="0" borderId="0" xfId="0" applyFont="1" applyAlignment="1">
      <alignment horizontal="center" vertical="top" wrapText="1"/>
    </xf>
    <xf numFmtId="3" fontId="11" fillId="0" borderId="0" xfId="0" applyNumberFormat="1" applyFont="1" applyAlignment="1">
      <alignment horizontal="center" vertical="top" shrinkToFit="1"/>
    </xf>
    <xf numFmtId="165" fontId="11" fillId="0" borderId="0" xfId="0" applyNumberFormat="1" applyFont="1" applyAlignment="1">
      <alignment horizontal="right" vertical="top" indent="2" shrinkToFit="1"/>
    </xf>
    <xf numFmtId="0" fontId="0" fillId="0" borderId="0" xfId="0" applyAlignment="1">
      <alignment horizontal="left" wrapText="1"/>
    </xf>
    <xf numFmtId="3" fontId="11" fillId="0" borderId="0" xfId="0" applyNumberFormat="1" applyFont="1" applyAlignment="1">
      <alignment horizontal="center" vertical="top" shrinkToFit="1"/>
    </xf>
    <xf numFmtId="165" fontId="11" fillId="0" borderId="0" xfId="0" applyNumberFormat="1" applyFont="1" applyAlignment="1">
      <alignment horizontal="center" vertical="top" shrinkToFit="1"/>
    </xf>
    <xf numFmtId="0" fontId="0" fillId="0" borderId="0" xfId="0" applyAlignment="1">
      <alignment horizontal="left" wrapText="1"/>
    </xf>
    <xf numFmtId="0" fontId="10" fillId="0" borderId="6" xfId="0" applyFont="1" applyBorder="1" applyAlignment="1">
      <alignment horizontal="center" vertical="top" wrapText="1"/>
    </xf>
    <xf numFmtId="3" fontId="11" fillId="0" borderId="6" xfId="0" applyNumberFormat="1" applyFont="1" applyBorder="1" applyAlignment="1">
      <alignment horizontal="center" vertical="top" shrinkToFit="1"/>
    </xf>
    <xf numFmtId="165" fontId="11" fillId="0" borderId="6" xfId="0" applyNumberFormat="1" applyFont="1" applyBorder="1" applyAlignment="1">
      <alignment horizontal="right" vertical="top" indent="2" shrinkToFit="1"/>
    </xf>
    <xf numFmtId="0" fontId="0" fillId="0" borderId="6" xfId="0" applyBorder="1" applyAlignment="1">
      <alignment horizontal="left" vertical="center" wrapText="1"/>
    </xf>
    <xf numFmtId="3" fontId="11" fillId="0" borderId="6" xfId="0" applyNumberFormat="1" applyFont="1" applyBorder="1" applyAlignment="1">
      <alignment horizontal="center" vertical="top" shrinkToFit="1"/>
    </xf>
    <xf numFmtId="165" fontId="11" fillId="0" borderId="6" xfId="0" applyNumberFormat="1" applyFont="1" applyBorder="1" applyAlignment="1">
      <alignment horizontal="center" vertical="top" shrinkToFit="1"/>
    </xf>
    <xf numFmtId="0" fontId="12" fillId="0" borderId="0" xfId="0" applyFont="1" applyAlignment="1">
      <alignment horizontal="center" vertical="center"/>
    </xf>
    <xf numFmtId="49" fontId="13" fillId="2" borderId="7" xfId="0" applyNumberFormat="1" applyFont="1" applyFill="1" applyBorder="1" applyAlignment="1">
      <alignment vertical="top"/>
    </xf>
    <xf numFmtId="0" fontId="13" fillId="2" borderId="7" xfId="0" applyFont="1" applyFill="1" applyBorder="1" applyAlignment="1">
      <alignment vertical="top"/>
    </xf>
    <xf numFmtId="0" fontId="13" fillId="3" borderId="8" xfId="0" applyFont="1" applyFill="1" applyBorder="1" applyAlignment="1">
      <alignment vertical="top"/>
    </xf>
    <xf numFmtId="0" fontId="0" fillId="0" borderId="9" xfId="0" applyBorder="1" applyAlignment="1">
      <alignment vertical="top"/>
    </xf>
    <xf numFmtId="49" fontId="13" fillId="3" borderId="10" xfId="0" applyNumberFormat="1" applyFont="1" applyFill="1" applyBorder="1" applyAlignment="1">
      <alignment vertical="top"/>
    </xf>
    <xf numFmtId="49" fontId="0" fillId="0" borderId="11" xfId="0" applyNumberFormat="1" applyBorder="1" applyAlignment="1">
      <alignment vertical="top"/>
    </xf>
    <xf numFmtId="0" fontId="0" fillId="0" borderId="11" xfId="0" applyBorder="1" applyAlignment="1">
      <alignment vertical="top"/>
    </xf>
    <xf numFmtId="0" fontId="10" fillId="0" borderId="0" xfId="0" applyFont="1" applyFill="1" applyBorder="1" applyAlignment="1">
      <alignment horizontal="center" vertical="top" wrapText="1"/>
    </xf>
    <xf numFmtId="0" fontId="14" fillId="0" borderId="0" xfId="0" applyFont="1" applyFill="1" applyBorder="1" applyAlignment="1"/>
    <xf numFmtId="0" fontId="15" fillId="0" borderId="0" xfId="0" applyFont="1"/>
    <xf numFmtId="0" fontId="1" fillId="0" borderId="0" xfId="0" applyFont="1"/>
    <xf numFmtId="0" fontId="16" fillId="0" borderId="0" xfId="0" applyFont="1"/>
    <xf numFmtId="0" fontId="0" fillId="0" borderId="0" xfId="0" applyNumberFormat="1"/>
    <xf numFmtId="0" fontId="0" fillId="0" borderId="0" xfId="0" pivotButton="1"/>
    <xf numFmtId="0" fontId="0" fillId="0" borderId="0" xfId="0" applyAlignment="1">
      <alignment horizontal="left"/>
    </xf>
    <xf numFmtId="0" fontId="17" fillId="0" borderId="0" xfId="0" applyFont="1" applyAlignment="1">
      <alignment horizontal="left"/>
    </xf>
    <xf numFmtId="0" fontId="17" fillId="0" borderId="0" xfId="0" applyFont="1"/>
    <xf numFmtId="0" fontId="18" fillId="0" borderId="5"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Violent Crime Rate 2001-2019</a:t>
            </a:r>
          </a:p>
        </c:rich>
      </c:tx>
      <c:layout>
        <c:manualLayout>
          <c:xMode val="edge"/>
          <c:yMode val="edge"/>
          <c:x val="0.3352222222222222"/>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Visualizations!$A$4:$A$23</c:f>
              <c:strCache>
                <c:ptCount val="20"/>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strCache>
            </c:strRef>
          </c:xVal>
          <c:yVal>
            <c:numRef>
              <c:f>Visualizations!$B$4:$B$23</c:f>
              <c:numCache>
                <c:formatCode>#,##0.0</c:formatCode>
                <c:ptCount val="20"/>
                <c:pt idx="0">
                  <c:v>506.5</c:v>
                </c:pt>
                <c:pt idx="1">
                  <c:v>504.5</c:v>
                </c:pt>
                <c:pt idx="2">
                  <c:v>494.4</c:v>
                </c:pt>
                <c:pt idx="3">
                  <c:v>475.8</c:v>
                </c:pt>
                <c:pt idx="4">
                  <c:v>463.2</c:v>
                </c:pt>
                <c:pt idx="5">
                  <c:v>469</c:v>
                </c:pt>
                <c:pt idx="6">
                  <c:v>479.3</c:v>
                </c:pt>
                <c:pt idx="7">
                  <c:v>471.8</c:v>
                </c:pt>
                <c:pt idx="8">
                  <c:v>458.6</c:v>
                </c:pt>
                <c:pt idx="9">
                  <c:v>431.9</c:v>
                </c:pt>
                <c:pt idx="10">
                  <c:v>404.5</c:v>
                </c:pt>
                <c:pt idx="11">
                  <c:v>387.1</c:v>
                </c:pt>
                <c:pt idx="12">
                  <c:v>387.8</c:v>
                </c:pt>
                <c:pt idx="13">
                  <c:v>369.1</c:v>
                </c:pt>
                <c:pt idx="14">
                  <c:v>361.6</c:v>
                </c:pt>
                <c:pt idx="15">
                  <c:v>373.7</c:v>
                </c:pt>
                <c:pt idx="16">
                  <c:v>386.6</c:v>
                </c:pt>
                <c:pt idx="17">
                  <c:v>383.8</c:v>
                </c:pt>
                <c:pt idx="18">
                  <c:v>370.4</c:v>
                </c:pt>
                <c:pt idx="19">
                  <c:v>366.7</c:v>
                </c:pt>
              </c:numCache>
            </c:numRef>
          </c:yVal>
          <c:smooth val="1"/>
          <c:extLst>
            <c:ext xmlns:c16="http://schemas.microsoft.com/office/drawing/2014/chart" uri="{C3380CC4-5D6E-409C-BE32-E72D297353CC}">
              <c16:uniqueId val="{00000000-788F-5E4D-9CE1-9AEF69831AAD}"/>
            </c:ext>
          </c:extLst>
        </c:ser>
        <c:dLbls>
          <c:showLegendKey val="0"/>
          <c:showVal val="0"/>
          <c:showCatName val="0"/>
          <c:showSerName val="0"/>
          <c:showPercent val="0"/>
          <c:showBubbleSize val="0"/>
        </c:dLbls>
        <c:axId val="1358033216"/>
        <c:axId val="1358007792"/>
      </c:scatterChart>
      <c:valAx>
        <c:axId val="1358033216"/>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007792"/>
        <c:crosses val="autoZero"/>
        <c:crossBetween val="midCat"/>
      </c:valAx>
      <c:valAx>
        <c:axId val="1358007792"/>
        <c:scaling>
          <c:orientation val="minMax"/>
        </c:scaling>
        <c:delete val="0"/>
        <c:axPos val="l"/>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0332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TAYLOR INTEREST 2001-2019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4"/>
              </a:solidFill>
              <a:round/>
            </a:ln>
            <a:effectLst/>
          </c:spPr>
          <c:marker>
            <c:symbol val="circle"/>
            <c:size val="5"/>
            <c:spPr>
              <a:solidFill>
                <a:schemeClr val="accent4"/>
              </a:solidFill>
              <a:ln w="9525">
                <a:solidFill>
                  <a:schemeClr val="accent4"/>
                </a:solidFill>
              </a:ln>
              <a:effectLst/>
            </c:spPr>
          </c:marker>
          <c:xVal>
            <c:strRef>
              <c:f>Visualizations!$A$4:$A$23</c:f>
              <c:strCache>
                <c:ptCount val="20"/>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strCache>
            </c:strRef>
          </c:xVal>
          <c:yVal>
            <c:numRef>
              <c:f>Visualizations!$C$4:$C$23</c:f>
              <c:numCache>
                <c:formatCode>General</c:formatCode>
                <c:ptCount val="20"/>
                <c:pt idx="0">
                  <c:v>0</c:v>
                </c:pt>
                <c:pt idx="1">
                  <c:v>0.5</c:v>
                </c:pt>
                <c:pt idx="2">
                  <c:v>15</c:v>
                </c:pt>
                <c:pt idx="3">
                  <c:v>52</c:v>
                </c:pt>
                <c:pt idx="4">
                  <c:v>122</c:v>
                </c:pt>
                <c:pt idx="5">
                  <c:v>265</c:v>
                </c:pt>
                <c:pt idx="6">
                  <c:v>220</c:v>
                </c:pt>
                <c:pt idx="7">
                  <c:v>194</c:v>
                </c:pt>
                <c:pt idx="8">
                  <c:v>235</c:v>
                </c:pt>
                <c:pt idx="9">
                  <c:v>220</c:v>
                </c:pt>
                <c:pt idx="10">
                  <c:v>203</c:v>
                </c:pt>
                <c:pt idx="11">
                  <c:v>275</c:v>
                </c:pt>
                <c:pt idx="12">
                  <c:v>181</c:v>
                </c:pt>
                <c:pt idx="13">
                  <c:v>150</c:v>
                </c:pt>
                <c:pt idx="14">
                  <c:v>106</c:v>
                </c:pt>
                <c:pt idx="15">
                  <c:v>126</c:v>
                </c:pt>
                <c:pt idx="16">
                  <c:v>102</c:v>
                </c:pt>
                <c:pt idx="17">
                  <c:v>115</c:v>
                </c:pt>
                <c:pt idx="18">
                  <c:v>173</c:v>
                </c:pt>
                <c:pt idx="19">
                  <c:v>564</c:v>
                </c:pt>
              </c:numCache>
            </c:numRef>
          </c:yVal>
          <c:smooth val="1"/>
          <c:extLst>
            <c:ext xmlns:c16="http://schemas.microsoft.com/office/drawing/2014/chart" uri="{C3380CC4-5D6E-409C-BE32-E72D297353CC}">
              <c16:uniqueId val="{00000000-7AC7-D249-AFEC-9E47986DAC76}"/>
            </c:ext>
          </c:extLst>
        </c:ser>
        <c:dLbls>
          <c:showLegendKey val="0"/>
          <c:showVal val="0"/>
          <c:showCatName val="0"/>
          <c:showSerName val="0"/>
          <c:showPercent val="0"/>
          <c:showBubbleSize val="0"/>
        </c:dLbls>
        <c:axId val="1861178656"/>
        <c:axId val="1358523824"/>
      </c:scatterChart>
      <c:valAx>
        <c:axId val="1861178656"/>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523824"/>
        <c:crosses val="autoZero"/>
        <c:crossBetween val="midCat"/>
      </c:valAx>
      <c:valAx>
        <c:axId val="1358523824"/>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1786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DRUG OVERDOSES 2001-2019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1"/>
          <c:order val="0"/>
          <c:spPr>
            <a:ln w="19050" cap="rnd">
              <a:solidFill>
                <a:schemeClr val="dk1">
                  <a:tint val="55000"/>
                </a:schemeClr>
              </a:solidFill>
              <a:round/>
            </a:ln>
            <a:effectLst/>
          </c:spPr>
          <c:marker>
            <c:symbol val="circle"/>
            <c:size val="5"/>
            <c:spPr>
              <a:solidFill>
                <a:schemeClr val="dk1">
                  <a:tint val="55000"/>
                </a:schemeClr>
              </a:solidFill>
              <a:ln w="9525">
                <a:solidFill>
                  <a:schemeClr val="dk1">
                    <a:tint val="55000"/>
                  </a:schemeClr>
                </a:solidFill>
              </a:ln>
              <a:effectLst/>
            </c:spPr>
          </c:marker>
          <c:xVal>
            <c:strRef>
              <c:f>Visualizations!$A$4:$A$23</c:f>
              <c:strCache>
                <c:ptCount val="20"/>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strCache>
            </c:strRef>
          </c:xVal>
          <c:yVal>
            <c:numRef>
              <c:f>Visualizations!$D$4:$D$23</c:f>
              <c:numCache>
                <c:formatCode>#,##0</c:formatCode>
                <c:ptCount val="20"/>
                <c:pt idx="0">
                  <c:v>19394</c:v>
                </c:pt>
                <c:pt idx="1">
                  <c:v>23518</c:v>
                </c:pt>
                <c:pt idx="2">
                  <c:v>25785</c:v>
                </c:pt>
                <c:pt idx="3">
                  <c:v>27424</c:v>
                </c:pt>
                <c:pt idx="4">
                  <c:v>29813</c:v>
                </c:pt>
                <c:pt idx="5">
                  <c:v>34425</c:v>
                </c:pt>
                <c:pt idx="6">
                  <c:v>36010</c:v>
                </c:pt>
                <c:pt idx="7">
                  <c:v>36450</c:v>
                </c:pt>
                <c:pt idx="8">
                  <c:v>37004</c:v>
                </c:pt>
                <c:pt idx="9">
                  <c:v>38329</c:v>
                </c:pt>
                <c:pt idx="10">
                  <c:v>41340</c:v>
                </c:pt>
                <c:pt idx="11">
                  <c:v>41502</c:v>
                </c:pt>
                <c:pt idx="12">
                  <c:v>43982</c:v>
                </c:pt>
                <c:pt idx="13">
                  <c:v>47055</c:v>
                </c:pt>
                <c:pt idx="14">
                  <c:v>52404</c:v>
                </c:pt>
                <c:pt idx="15">
                  <c:v>63632</c:v>
                </c:pt>
                <c:pt idx="16">
                  <c:v>70237</c:v>
                </c:pt>
                <c:pt idx="17">
                  <c:v>67367</c:v>
                </c:pt>
                <c:pt idx="18">
                  <c:v>70630</c:v>
                </c:pt>
                <c:pt idx="19">
                  <c:v>91799</c:v>
                </c:pt>
              </c:numCache>
            </c:numRef>
          </c:yVal>
          <c:smooth val="1"/>
          <c:extLst>
            <c:ext xmlns:c16="http://schemas.microsoft.com/office/drawing/2014/chart" uri="{C3380CC4-5D6E-409C-BE32-E72D297353CC}">
              <c16:uniqueId val="{00000001-C66F-8449-A24E-66DECD48AF1C}"/>
            </c:ext>
          </c:extLst>
        </c:ser>
        <c:dLbls>
          <c:showLegendKey val="0"/>
          <c:showVal val="0"/>
          <c:showCatName val="0"/>
          <c:showSerName val="0"/>
          <c:showPercent val="0"/>
          <c:showBubbleSize val="0"/>
        </c:dLbls>
        <c:axId val="1358933920"/>
        <c:axId val="1358935648"/>
      </c:scatterChart>
      <c:valAx>
        <c:axId val="1358933920"/>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935648"/>
        <c:crosses val="autoZero"/>
        <c:crossBetween val="midCat"/>
      </c:valAx>
      <c:valAx>
        <c:axId val="1358935648"/>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9339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463550</xdr:colOff>
      <xdr:row>30</xdr:row>
      <xdr:rowOff>158750</xdr:rowOff>
    </xdr:from>
    <xdr:to>
      <xdr:col>19</xdr:col>
      <xdr:colOff>82550</xdr:colOff>
      <xdr:row>44</xdr:row>
      <xdr:rowOff>57150</xdr:rowOff>
    </xdr:to>
    <xdr:graphicFrame macro="">
      <xdr:nvGraphicFramePr>
        <xdr:cNvPr id="3" name="Chart 2">
          <a:extLst>
            <a:ext uri="{FF2B5EF4-FFF2-40B4-BE49-F238E27FC236}">
              <a16:creationId xmlns:a16="http://schemas.microsoft.com/office/drawing/2014/main" id="{494EB34F-84B4-19F2-4CCA-A3E6E90F9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488950</xdr:colOff>
      <xdr:row>2</xdr:row>
      <xdr:rowOff>501650</xdr:rowOff>
    </xdr:from>
    <xdr:to>
      <xdr:col>19</xdr:col>
      <xdr:colOff>107950</xdr:colOff>
      <xdr:row>16</xdr:row>
      <xdr:rowOff>95250</xdr:rowOff>
    </xdr:to>
    <xdr:graphicFrame macro="">
      <xdr:nvGraphicFramePr>
        <xdr:cNvPr id="5" name="Chart 4">
          <a:extLst>
            <a:ext uri="{FF2B5EF4-FFF2-40B4-BE49-F238E27FC236}">
              <a16:creationId xmlns:a16="http://schemas.microsoft.com/office/drawing/2014/main" id="{8BC65499-C7A9-B5F4-3F2C-1870FD6C7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488950</xdr:colOff>
      <xdr:row>16</xdr:row>
      <xdr:rowOff>184150</xdr:rowOff>
    </xdr:from>
    <xdr:to>
      <xdr:col>19</xdr:col>
      <xdr:colOff>107950</xdr:colOff>
      <xdr:row>30</xdr:row>
      <xdr:rowOff>82550</xdr:rowOff>
    </xdr:to>
    <xdr:graphicFrame macro="">
      <xdr:nvGraphicFramePr>
        <xdr:cNvPr id="6" name="Chart 5">
          <a:extLst>
            <a:ext uri="{FF2B5EF4-FFF2-40B4-BE49-F238E27FC236}">
              <a16:creationId xmlns:a16="http://schemas.microsoft.com/office/drawing/2014/main" id="{10B5C646-30B2-D691-BD56-D07867FCE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628.507667129626" createdVersion="8" refreshedVersion="8" minRefreshableVersion="3" recordCount="250" xr:uid="{379628D0-1E0B-FE4C-BCC2-2384449D8D5E}">
  <cacheSource type="worksheet">
    <worksheetSource ref="L3:M253" sheet="Taylor_Swift_Interest"/>
  </cacheSource>
  <cacheFields count="2">
    <cacheField name="YEAR" numFmtId="0">
      <sharedItems count="21">
        <s v="2004"/>
        <s v="2005"/>
        <s v="2006"/>
        <s v="2007"/>
        <s v="2008"/>
        <s v="2009"/>
        <s v="2010"/>
        <s v="2011"/>
        <s v="2012"/>
        <s v="2013"/>
        <s v="2014"/>
        <s v="2015"/>
        <s v="2016"/>
        <s v="2017"/>
        <s v="2018"/>
        <s v="2019"/>
        <s v="2020"/>
        <s v="2021"/>
        <s v="2022"/>
        <s v="2023"/>
        <s v="2024"/>
      </sharedItems>
    </cacheField>
    <cacheField name="taylor swift: (United States)" numFmtId="0">
      <sharedItems containsSemiMixedTypes="0" containsString="0" containsNumber="1" minValue="0" maxValue="100" count="53">
        <n v="0"/>
        <n v="0.5"/>
        <n v="1"/>
        <n v="2"/>
        <n v="4"/>
        <n v="3"/>
        <n v="5"/>
        <n v="7"/>
        <n v="8"/>
        <n v="6"/>
        <n v="12"/>
        <n v="11"/>
        <n v="25"/>
        <n v="19"/>
        <n v="17"/>
        <n v="16"/>
        <n v="13"/>
        <n v="18"/>
        <n v="15"/>
        <n v="51"/>
        <n v="22"/>
        <n v="36"/>
        <n v="26"/>
        <n v="20"/>
        <n v="23"/>
        <n v="14"/>
        <n v="10"/>
        <n v="9"/>
        <n v="29"/>
        <n v="31"/>
        <n v="21"/>
        <n v="35"/>
        <n v="32"/>
        <n v="34"/>
        <n v="24"/>
        <n v="44"/>
        <n v="33"/>
        <n v="30"/>
        <n v="28"/>
        <n v="27"/>
        <n v="41"/>
        <n v="58"/>
        <n v="42"/>
        <n v="49"/>
        <n v="50"/>
        <n v="63"/>
        <n v="81"/>
        <n v="62"/>
        <n v="61"/>
        <n v="100"/>
        <n v="59"/>
        <n v="39"/>
        <n v="4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r>
  <r>
    <x v="0"/>
    <x v="0"/>
  </r>
  <r>
    <x v="0"/>
    <x v="0"/>
  </r>
  <r>
    <x v="0"/>
    <x v="0"/>
  </r>
  <r>
    <x v="0"/>
    <x v="0"/>
  </r>
  <r>
    <x v="0"/>
    <x v="0"/>
  </r>
  <r>
    <x v="0"/>
    <x v="0"/>
  </r>
  <r>
    <x v="0"/>
    <x v="0"/>
  </r>
  <r>
    <x v="0"/>
    <x v="0"/>
  </r>
  <r>
    <x v="0"/>
    <x v="0"/>
  </r>
  <r>
    <x v="0"/>
    <x v="0"/>
  </r>
  <r>
    <x v="0"/>
    <x v="0"/>
  </r>
  <r>
    <x v="1"/>
    <x v="0"/>
  </r>
  <r>
    <x v="1"/>
    <x v="0"/>
  </r>
  <r>
    <x v="1"/>
    <x v="0"/>
  </r>
  <r>
    <x v="1"/>
    <x v="0"/>
  </r>
  <r>
    <x v="1"/>
    <x v="0"/>
  </r>
  <r>
    <x v="1"/>
    <x v="0"/>
  </r>
  <r>
    <x v="1"/>
    <x v="0"/>
  </r>
  <r>
    <x v="1"/>
    <x v="1"/>
  </r>
  <r>
    <x v="1"/>
    <x v="0"/>
  </r>
  <r>
    <x v="1"/>
    <x v="0"/>
  </r>
  <r>
    <x v="1"/>
    <x v="0"/>
  </r>
  <r>
    <x v="1"/>
    <x v="0"/>
  </r>
  <r>
    <x v="2"/>
    <x v="0"/>
  </r>
  <r>
    <x v="2"/>
    <x v="0"/>
  </r>
  <r>
    <x v="2"/>
    <x v="1"/>
  </r>
  <r>
    <x v="2"/>
    <x v="1"/>
  </r>
  <r>
    <x v="2"/>
    <x v="1"/>
  </r>
  <r>
    <x v="2"/>
    <x v="1"/>
  </r>
  <r>
    <x v="2"/>
    <x v="2"/>
  </r>
  <r>
    <x v="2"/>
    <x v="2"/>
  </r>
  <r>
    <x v="2"/>
    <x v="3"/>
  </r>
  <r>
    <x v="2"/>
    <x v="3"/>
  </r>
  <r>
    <x v="2"/>
    <x v="4"/>
  </r>
  <r>
    <x v="2"/>
    <x v="5"/>
  </r>
  <r>
    <x v="3"/>
    <x v="5"/>
  </r>
  <r>
    <x v="3"/>
    <x v="5"/>
  </r>
  <r>
    <x v="3"/>
    <x v="5"/>
  </r>
  <r>
    <x v="3"/>
    <x v="4"/>
  </r>
  <r>
    <x v="3"/>
    <x v="6"/>
  </r>
  <r>
    <x v="3"/>
    <x v="4"/>
  </r>
  <r>
    <x v="3"/>
    <x v="4"/>
  </r>
  <r>
    <x v="3"/>
    <x v="4"/>
  </r>
  <r>
    <x v="3"/>
    <x v="5"/>
  </r>
  <r>
    <x v="3"/>
    <x v="4"/>
  </r>
  <r>
    <x v="3"/>
    <x v="7"/>
  </r>
  <r>
    <x v="3"/>
    <x v="8"/>
  </r>
  <r>
    <x v="4"/>
    <x v="7"/>
  </r>
  <r>
    <x v="4"/>
    <x v="7"/>
  </r>
  <r>
    <x v="4"/>
    <x v="9"/>
  </r>
  <r>
    <x v="4"/>
    <x v="7"/>
  </r>
  <r>
    <x v="4"/>
    <x v="8"/>
  </r>
  <r>
    <x v="4"/>
    <x v="7"/>
  </r>
  <r>
    <x v="4"/>
    <x v="9"/>
  </r>
  <r>
    <x v="4"/>
    <x v="7"/>
  </r>
  <r>
    <x v="4"/>
    <x v="10"/>
  </r>
  <r>
    <x v="4"/>
    <x v="11"/>
  </r>
  <r>
    <x v="4"/>
    <x v="12"/>
  </r>
  <r>
    <x v="4"/>
    <x v="13"/>
  </r>
  <r>
    <x v="5"/>
    <x v="14"/>
  </r>
  <r>
    <x v="5"/>
    <x v="13"/>
  </r>
  <r>
    <x v="5"/>
    <x v="15"/>
  </r>
  <r>
    <x v="5"/>
    <x v="16"/>
  </r>
  <r>
    <x v="5"/>
    <x v="15"/>
  </r>
  <r>
    <x v="5"/>
    <x v="17"/>
  </r>
  <r>
    <x v="5"/>
    <x v="18"/>
  </r>
  <r>
    <x v="5"/>
    <x v="15"/>
  </r>
  <r>
    <x v="5"/>
    <x v="19"/>
  </r>
  <r>
    <x v="5"/>
    <x v="20"/>
  </r>
  <r>
    <x v="5"/>
    <x v="21"/>
  </r>
  <r>
    <x v="5"/>
    <x v="22"/>
  </r>
  <r>
    <x v="6"/>
    <x v="23"/>
  </r>
  <r>
    <x v="6"/>
    <x v="24"/>
  </r>
  <r>
    <x v="6"/>
    <x v="25"/>
  </r>
  <r>
    <x v="6"/>
    <x v="25"/>
  </r>
  <r>
    <x v="6"/>
    <x v="16"/>
  </r>
  <r>
    <x v="6"/>
    <x v="26"/>
  </r>
  <r>
    <x v="6"/>
    <x v="27"/>
  </r>
  <r>
    <x v="6"/>
    <x v="18"/>
  </r>
  <r>
    <x v="6"/>
    <x v="14"/>
  </r>
  <r>
    <x v="6"/>
    <x v="28"/>
  </r>
  <r>
    <x v="6"/>
    <x v="29"/>
  </r>
  <r>
    <x v="6"/>
    <x v="12"/>
  </r>
  <r>
    <x v="7"/>
    <x v="20"/>
  </r>
  <r>
    <x v="7"/>
    <x v="13"/>
  </r>
  <r>
    <x v="7"/>
    <x v="16"/>
  </r>
  <r>
    <x v="7"/>
    <x v="25"/>
  </r>
  <r>
    <x v="7"/>
    <x v="25"/>
  </r>
  <r>
    <x v="7"/>
    <x v="18"/>
  </r>
  <r>
    <x v="7"/>
    <x v="25"/>
  </r>
  <r>
    <x v="7"/>
    <x v="14"/>
  </r>
  <r>
    <x v="7"/>
    <x v="16"/>
  </r>
  <r>
    <x v="7"/>
    <x v="18"/>
  </r>
  <r>
    <x v="7"/>
    <x v="30"/>
  </r>
  <r>
    <x v="7"/>
    <x v="14"/>
  </r>
  <r>
    <x v="8"/>
    <x v="25"/>
  </r>
  <r>
    <x v="8"/>
    <x v="17"/>
  </r>
  <r>
    <x v="8"/>
    <x v="18"/>
  </r>
  <r>
    <x v="8"/>
    <x v="18"/>
  </r>
  <r>
    <x v="8"/>
    <x v="11"/>
  </r>
  <r>
    <x v="8"/>
    <x v="11"/>
  </r>
  <r>
    <x v="8"/>
    <x v="26"/>
  </r>
  <r>
    <x v="8"/>
    <x v="13"/>
  </r>
  <r>
    <x v="8"/>
    <x v="30"/>
  </r>
  <r>
    <x v="8"/>
    <x v="31"/>
  </r>
  <r>
    <x v="8"/>
    <x v="32"/>
  </r>
  <r>
    <x v="8"/>
    <x v="33"/>
  </r>
  <r>
    <x v="9"/>
    <x v="32"/>
  </r>
  <r>
    <x v="9"/>
    <x v="12"/>
  </r>
  <r>
    <x v="9"/>
    <x v="20"/>
  </r>
  <r>
    <x v="9"/>
    <x v="17"/>
  </r>
  <r>
    <x v="9"/>
    <x v="13"/>
  </r>
  <r>
    <x v="9"/>
    <x v="14"/>
  </r>
  <r>
    <x v="9"/>
    <x v="14"/>
  </r>
  <r>
    <x v="9"/>
    <x v="23"/>
  </r>
  <r>
    <x v="9"/>
    <x v="16"/>
  </r>
  <r>
    <x v="9"/>
    <x v="26"/>
  </r>
  <r>
    <x v="9"/>
    <x v="25"/>
  </r>
  <r>
    <x v="9"/>
    <x v="16"/>
  </r>
  <r>
    <x v="10"/>
    <x v="18"/>
  </r>
  <r>
    <x v="10"/>
    <x v="11"/>
  </r>
  <r>
    <x v="10"/>
    <x v="8"/>
  </r>
  <r>
    <x v="10"/>
    <x v="27"/>
  </r>
  <r>
    <x v="10"/>
    <x v="8"/>
  </r>
  <r>
    <x v="10"/>
    <x v="8"/>
  </r>
  <r>
    <x v="10"/>
    <x v="7"/>
  </r>
  <r>
    <x v="10"/>
    <x v="30"/>
  </r>
  <r>
    <x v="10"/>
    <x v="18"/>
  </r>
  <r>
    <x v="10"/>
    <x v="34"/>
  </r>
  <r>
    <x v="10"/>
    <x v="35"/>
  </r>
  <r>
    <x v="10"/>
    <x v="36"/>
  </r>
  <r>
    <x v="11"/>
    <x v="37"/>
  </r>
  <r>
    <x v="11"/>
    <x v="38"/>
  </r>
  <r>
    <x v="11"/>
    <x v="23"/>
  </r>
  <r>
    <x v="11"/>
    <x v="23"/>
  </r>
  <r>
    <x v="11"/>
    <x v="39"/>
  </r>
  <r>
    <x v="11"/>
    <x v="24"/>
  </r>
  <r>
    <x v="11"/>
    <x v="39"/>
  </r>
  <r>
    <x v="11"/>
    <x v="12"/>
  </r>
  <r>
    <x v="11"/>
    <x v="24"/>
  </r>
  <r>
    <x v="11"/>
    <x v="23"/>
  </r>
  <r>
    <x v="11"/>
    <x v="15"/>
  </r>
  <r>
    <x v="11"/>
    <x v="15"/>
  </r>
  <r>
    <x v="12"/>
    <x v="25"/>
  </r>
  <r>
    <x v="12"/>
    <x v="20"/>
  </r>
  <r>
    <x v="12"/>
    <x v="16"/>
  </r>
  <r>
    <x v="12"/>
    <x v="18"/>
  </r>
  <r>
    <x v="12"/>
    <x v="10"/>
  </r>
  <r>
    <x v="12"/>
    <x v="30"/>
  </r>
  <r>
    <x v="12"/>
    <x v="28"/>
  </r>
  <r>
    <x v="12"/>
    <x v="10"/>
  </r>
  <r>
    <x v="12"/>
    <x v="11"/>
  </r>
  <r>
    <x v="12"/>
    <x v="26"/>
  </r>
  <r>
    <x v="12"/>
    <x v="10"/>
  </r>
  <r>
    <x v="12"/>
    <x v="26"/>
  </r>
  <r>
    <x v="13"/>
    <x v="27"/>
  </r>
  <r>
    <x v="13"/>
    <x v="8"/>
  </r>
  <r>
    <x v="13"/>
    <x v="7"/>
  </r>
  <r>
    <x v="13"/>
    <x v="9"/>
  </r>
  <r>
    <x v="13"/>
    <x v="7"/>
  </r>
  <r>
    <x v="13"/>
    <x v="8"/>
  </r>
  <r>
    <x v="13"/>
    <x v="9"/>
  </r>
  <r>
    <x v="13"/>
    <x v="29"/>
  </r>
  <r>
    <x v="13"/>
    <x v="15"/>
  </r>
  <r>
    <x v="13"/>
    <x v="10"/>
  </r>
  <r>
    <x v="13"/>
    <x v="24"/>
  </r>
  <r>
    <x v="13"/>
    <x v="14"/>
  </r>
  <r>
    <x v="14"/>
    <x v="26"/>
  </r>
  <r>
    <x v="14"/>
    <x v="7"/>
  </r>
  <r>
    <x v="14"/>
    <x v="8"/>
  </r>
  <r>
    <x v="14"/>
    <x v="8"/>
  </r>
  <r>
    <x v="14"/>
    <x v="10"/>
  </r>
  <r>
    <x v="14"/>
    <x v="27"/>
  </r>
  <r>
    <x v="14"/>
    <x v="16"/>
  </r>
  <r>
    <x v="14"/>
    <x v="27"/>
  </r>
  <r>
    <x v="14"/>
    <x v="8"/>
  </r>
  <r>
    <x v="14"/>
    <x v="11"/>
  </r>
  <r>
    <x v="14"/>
    <x v="6"/>
  </r>
  <r>
    <x v="14"/>
    <x v="9"/>
  </r>
  <r>
    <x v="15"/>
    <x v="8"/>
  </r>
  <r>
    <x v="15"/>
    <x v="9"/>
  </r>
  <r>
    <x v="15"/>
    <x v="9"/>
  </r>
  <r>
    <x v="15"/>
    <x v="10"/>
  </r>
  <r>
    <x v="15"/>
    <x v="26"/>
  </r>
  <r>
    <x v="15"/>
    <x v="10"/>
  </r>
  <r>
    <x v="15"/>
    <x v="11"/>
  </r>
  <r>
    <x v="15"/>
    <x v="17"/>
  </r>
  <r>
    <x v="15"/>
    <x v="26"/>
  </r>
  <r>
    <x v="15"/>
    <x v="26"/>
  </r>
  <r>
    <x v="15"/>
    <x v="16"/>
  </r>
  <r>
    <x v="15"/>
    <x v="26"/>
  </r>
  <r>
    <x v="16"/>
    <x v="7"/>
  </r>
  <r>
    <x v="16"/>
    <x v="10"/>
  </r>
  <r>
    <x v="16"/>
    <x v="7"/>
  </r>
  <r>
    <x v="16"/>
    <x v="9"/>
  </r>
  <r>
    <x v="16"/>
    <x v="7"/>
  </r>
  <r>
    <x v="16"/>
    <x v="6"/>
  </r>
  <r>
    <x v="16"/>
    <x v="25"/>
  </r>
  <r>
    <x v="16"/>
    <x v="26"/>
  </r>
  <r>
    <x v="16"/>
    <x v="7"/>
  </r>
  <r>
    <x v="16"/>
    <x v="9"/>
  </r>
  <r>
    <x v="16"/>
    <x v="7"/>
  </r>
  <r>
    <x v="16"/>
    <x v="25"/>
  </r>
  <r>
    <x v="17"/>
    <x v="7"/>
  </r>
  <r>
    <x v="17"/>
    <x v="27"/>
  </r>
  <r>
    <x v="17"/>
    <x v="26"/>
  </r>
  <r>
    <x v="17"/>
    <x v="26"/>
  </r>
  <r>
    <x v="17"/>
    <x v="7"/>
  </r>
  <r>
    <x v="17"/>
    <x v="7"/>
  </r>
  <r>
    <x v="17"/>
    <x v="9"/>
  </r>
  <r>
    <x v="17"/>
    <x v="7"/>
  </r>
  <r>
    <x v="17"/>
    <x v="9"/>
  </r>
  <r>
    <x v="17"/>
    <x v="7"/>
  </r>
  <r>
    <x v="17"/>
    <x v="28"/>
  </r>
  <r>
    <x v="17"/>
    <x v="26"/>
  </r>
  <r>
    <x v="18"/>
    <x v="27"/>
  </r>
  <r>
    <x v="18"/>
    <x v="26"/>
  </r>
  <r>
    <x v="18"/>
    <x v="7"/>
  </r>
  <r>
    <x v="18"/>
    <x v="27"/>
  </r>
  <r>
    <x v="18"/>
    <x v="11"/>
  </r>
  <r>
    <x v="18"/>
    <x v="7"/>
  </r>
  <r>
    <x v="18"/>
    <x v="8"/>
  </r>
  <r>
    <x v="18"/>
    <x v="26"/>
  </r>
  <r>
    <x v="18"/>
    <x v="26"/>
  </r>
  <r>
    <x v="18"/>
    <x v="12"/>
  </r>
  <r>
    <x v="18"/>
    <x v="19"/>
  </r>
  <r>
    <x v="18"/>
    <x v="15"/>
  </r>
  <r>
    <x v="19"/>
    <x v="18"/>
  </r>
  <r>
    <x v="19"/>
    <x v="15"/>
  </r>
  <r>
    <x v="19"/>
    <x v="28"/>
  </r>
  <r>
    <x v="19"/>
    <x v="40"/>
  </r>
  <r>
    <x v="19"/>
    <x v="41"/>
  </r>
  <r>
    <x v="19"/>
    <x v="42"/>
  </r>
  <r>
    <x v="19"/>
    <x v="43"/>
  </r>
  <r>
    <x v="19"/>
    <x v="44"/>
  </r>
  <r>
    <x v="19"/>
    <x v="45"/>
  </r>
  <r>
    <x v="19"/>
    <x v="46"/>
  </r>
  <r>
    <x v="19"/>
    <x v="47"/>
  </r>
  <r>
    <x v="19"/>
    <x v="41"/>
  </r>
  <r>
    <x v="20"/>
    <x v="48"/>
  </r>
  <r>
    <x v="20"/>
    <x v="49"/>
  </r>
  <r>
    <x v="20"/>
    <x v="40"/>
  </r>
  <r>
    <x v="20"/>
    <x v="50"/>
  </r>
  <r>
    <x v="20"/>
    <x v="51"/>
  </r>
  <r>
    <x v="20"/>
    <x v="21"/>
  </r>
  <r>
    <x v="20"/>
    <x v="29"/>
  </r>
  <r>
    <x v="20"/>
    <x v="29"/>
  </r>
  <r>
    <x v="20"/>
    <x v="52"/>
  </r>
  <r>
    <x v="20"/>
    <x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EA4619-CF96-BC4C-8C07-FDB6A6CDCEAC}"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T25" firstHeaderRow="1" firstDataRow="1" firstDataCol="1"/>
  <pivotFields count="2">
    <pivotField axis="axisRow" showAll="0">
      <items count="22">
        <item x="0"/>
        <item x="1"/>
        <item x="2"/>
        <item x="3"/>
        <item x="4"/>
        <item x="5"/>
        <item x="6"/>
        <item x="7"/>
        <item x="8"/>
        <item x="9"/>
        <item x="10"/>
        <item x="11"/>
        <item x="12"/>
        <item x="13"/>
        <item x="14"/>
        <item x="15"/>
        <item x="16"/>
        <item x="17"/>
        <item x="18"/>
        <item x="19"/>
        <item x="20"/>
        <item t="default"/>
      </items>
    </pivotField>
    <pivotField dataField="1" showAll="0">
      <items count="54">
        <item x="0"/>
        <item x="1"/>
        <item x="2"/>
        <item x="3"/>
        <item x="5"/>
        <item x="4"/>
        <item x="6"/>
        <item x="9"/>
        <item x="7"/>
        <item x="8"/>
        <item x="27"/>
        <item x="26"/>
        <item x="11"/>
        <item x="10"/>
        <item x="16"/>
        <item x="25"/>
        <item x="18"/>
        <item x="15"/>
        <item x="14"/>
        <item x="17"/>
        <item x="13"/>
        <item x="23"/>
        <item x="30"/>
        <item x="20"/>
        <item x="24"/>
        <item x="34"/>
        <item x="12"/>
        <item x="22"/>
        <item x="39"/>
        <item x="38"/>
        <item x="28"/>
        <item x="37"/>
        <item x="29"/>
        <item x="32"/>
        <item x="36"/>
        <item x="33"/>
        <item x="31"/>
        <item x="21"/>
        <item x="51"/>
        <item x="52"/>
        <item x="40"/>
        <item x="42"/>
        <item x="35"/>
        <item x="43"/>
        <item x="44"/>
        <item x="19"/>
        <item x="41"/>
        <item x="50"/>
        <item x="48"/>
        <item x="47"/>
        <item x="45"/>
        <item x="46"/>
        <item x="49"/>
        <item t="default"/>
      </items>
    </pivotField>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taylor swift: (United Stat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AF3DF-5BB9-4F46-8662-BB58170B58A2}">
  <dimension ref="A1:A9"/>
  <sheetViews>
    <sheetView workbookViewId="0">
      <selection activeCell="B9" sqref="B9"/>
    </sheetView>
  </sheetViews>
  <sheetFormatPr baseColWidth="10" defaultRowHeight="16" x14ac:dyDescent="0.2"/>
  <sheetData>
    <row r="1" spans="1:1" x14ac:dyDescent="0.2">
      <c r="A1" t="s">
        <v>0</v>
      </c>
    </row>
    <row r="3" spans="1:1" x14ac:dyDescent="0.2">
      <c r="A3" t="s">
        <v>368</v>
      </c>
    </row>
    <row r="5" spans="1:1" x14ac:dyDescent="0.2">
      <c r="A5" t="s">
        <v>335</v>
      </c>
    </row>
    <row r="7" spans="1:1" x14ac:dyDescent="0.2">
      <c r="A7" t="s">
        <v>362</v>
      </c>
    </row>
    <row r="9" spans="1:1" x14ac:dyDescent="0.2">
      <c r="A9" t="s">
        <v>363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04C14-4F06-2A45-BE4F-7828BF515CF7}">
  <dimension ref="A3:V87"/>
  <sheetViews>
    <sheetView topLeftCell="A56" workbookViewId="0">
      <selection activeCell="A67" sqref="A67:B87"/>
    </sheetView>
  </sheetViews>
  <sheetFormatPr baseColWidth="10" defaultRowHeight="16" x14ac:dyDescent="0.2"/>
  <sheetData>
    <row r="3" spans="1:22" x14ac:dyDescent="0.2">
      <c r="A3" s="1" t="s">
        <v>1</v>
      </c>
      <c r="B3" s="2" t="s">
        <v>2</v>
      </c>
      <c r="C3" s="2"/>
      <c r="D3" s="3"/>
      <c r="E3" s="2"/>
      <c r="F3" s="3"/>
      <c r="G3" s="2"/>
      <c r="H3" s="3"/>
      <c r="I3" s="2"/>
      <c r="J3" s="3"/>
      <c r="K3" s="2"/>
      <c r="L3" s="3"/>
      <c r="M3" s="2"/>
      <c r="N3" s="3"/>
      <c r="O3" s="2"/>
      <c r="P3" s="3"/>
      <c r="Q3" s="2"/>
      <c r="R3" s="3"/>
      <c r="S3" s="2"/>
      <c r="T3" s="3"/>
      <c r="U3" s="2"/>
      <c r="V3" s="3"/>
    </row>
    <row r="4" spans="1:22" x14ac:dyDescent="0.2">
      <c r="A4" s="4" t="s">
        <v>3</v>
      </c>
      <c r="B4" s="5"/>
      <c r="C4" s="5"/>
      <c r="D4" s="5"/>
      <c r="E4" s="5"/>
      <c r="F4" s="6"/>
      <c r="G4" s="6"/>
      <c r="H4" s="6"/>
      <c r="I4" s="6"/>
      <c r="J4" s="6"/>
      <c r="K4" s="6"/>
      <c r="L4" s="6"/>
      <c r="M4" s="6"/>
      <c r="N4" s="6"/>
      <c r="O4" s="6"/>
      <c r="P4" s="6"/>
      <c r="Q4" s="6"/>
      <c r="R4" s="6"/>
      <c r="S4" s="6"/>
      <c r="T4" s="6"/>
      <c r="U4" s="6"/>
      <c r="V4" s="6"/>
    </row>
    <row r="5" spans="1:22" x14ac:dyDescent="0.2">
      <c r="A5" s="7" t="s">
        <v>4</v>
      </c>
      <c r="B5" s="8"/>
      <c r="C5" s="8"/>
      <c r="D5" s="9"/>
      <c r="E5" s="8"/>
      <c r="F5" s="9"/>
      <c r="G5" s="8"/>
      <c r="H5" s="9"/>
      <c r="I5" s="8"/>
      <c r="J5" s="9"/>
      <c r="K5" s="8"/>
      <c r="L5" s="9"/>
      <c r="M5" s="8"/>
      <c r="N5" s="9"/>
      <c r="O5" s="8"/>
      <c r="P5" s="9"/>
      <c r="Q5" s="8"/>
      <c r="R5" s="9"/>
      <c r="S5" s="8"/>
      <c r="T5" s="9"/>
      <c r="U5" s="8"/>
      <c r="V5" s="9"/>
    </row>
    <row r="6" spans="1:22" ht="54" x14ac:dyDescent="0.2">
      <c r="A6" s="10" t="s">
        <v>5</v>
      </c>
      <c r="B6" s="10" t="s">
        <v>6</v>
      </c>
      <c r="C6" s="11" t="s">
        <v>7</v>
      </c>
      <c r="D6" s="12" t="s">
        <v>8</v>
      </c>
      <c r="E6" s="10" t="s">
        <v>9</v>
      </c>
      <c r="F6" s="12" t="s">
        <v>10</v>
      </c>
      <c r="G6" s="10" t="s">
        <v>11</v>
      </c>
      <c r="H6" s="12" t="s">
        <v>12</v>
      </c>
      <c r="I6" s="10" t="s">
        <v>13</v>
      </c>
      <c r="J6" s="12" t="s">
        <v>14</v>
      </c>
      <c r="K6" s="10" t="s">
        <v>15</v>
      </c>
      <c r="L6" s="12" t="s">
        <v>16</v>
      </c>
      <c r="M6" s="10" t="s">
        <v>17</v>
      </c>
      <c r="N6" s="12" t="s">
        <v>18</v>
      </c>
      <c r="O6" s="11" t="s">
        <v>19</v>
      </c>
      <c r="P6" s="12" t="s">
        <v>20</v>
      </c>
      <c r="Q6" s="10" t="s">
        <v>21</v>
      </c>
      <c r="R6" s="12" t="s">
        <v>22</v>
      </c>
      <c r="S6" s="10" t="s">
        <v>23</v>
      </c>
      <c r="T6" s="12" t="s">
        <v>24</v>
      </c>
      <c r="U6" s="10" t="s">
        <v>25</v>
      </c>
      <c r="V6" s="12" t="s">
        <v>26</v>
      </c>
    </row>
    <row r="7" spans="1:22" x14ac:dyDescent="0.2">
      <c r="A7" s="13">
        <v>2000</v>
      </c>
      <c r="B7" s="14">
        <v>281421906</v>
      </c>
      <c r="C7" s="14">
        <v>1425486</v>
      </c>
      <c r="D7" s="15">
        <v>506.5</v>
      </c>
      <c r="E7" s="14">
        <v>15586</v>
      </c>
      <c r="F7" s="15">
        <v>5.5</v>
      </c>
      <c r="G7" s="14"/>
      <c r="H7" s="15"/>
      <c r="I7" s="14">
        <v>90178</v>
      </c>
      <c r="J7" s="15">
        <v>32</v>
      </c>
      <c r="K7" s="14">
        <v>408016</v>
      </c>
      <c r="L7" s="15">
        <v>145</v>
      </c>
      <c r="M7" s="14">
        <v>911706</v>
      </c>
      <c r="N7" s="15">
        <v>324</v>
      </c>
      <c r="O7" s="14">
        <v>10182584</v>
      </c>
      <c r="P7" s="16">
        <v>3618.3</v>
      </c>
      <c r="Q7" s="14">
        <v>2050992</v>
      </c>
      <c r="R7" s="16">
        <v>728.8</v>
      </c>
      <c r="S7" s="14">
        <v>6971590</v>
      </c>
      <c r="T7" s="16">
        <v>2477.3000000000002</v>
      </c>
      <c r="U7" s="14">
        <v>1160002</v>
      </c>
      <c r="V7" s="15">
        <v>412.2</v>
      </c>
    </row>
    <row r="8" spans="1:22" x14ac:dyDescent="0.2">
      <c r="A8" s="13" t="s">
        <v>27</v>
      </c>
      <c r="B8" s="14">
        <v>285317559</v>
      </c>
      <c r="C8" s="14">
        <v>1439480</v>
      </c>
      <c r="D8" s="15">
        <v>504.5</v>
      </c>
      <c r="E8" s="14">
        <v>16037</v>
      </c>
      <c r="F8" s="15">
        <v>5.6</v>
      </c>
      <c r="G8" s="14"/>
      <c r="H8" s="15"/>
      <c r="I8" s="14">
        <v>90863</v>
      </c>
      <c r="J8" s="15">
        <v>31.8</v>
      </c>
      <c r="K8" s="14">
        <v>423557</v>
      </c>
      <c r="L8" s="15">
        <v>148.5</v>
      </c>
      <c r="M8" s="14">
        <v>909023</v>
      </c>
      <c r="N8" s="15">
        <v>318.60000000000002</v>
      </c>
      <c r="O8" s="14">
        <v>10437189</v>
      </c>
      <c r="P8" s="16">
        <v>3658.1</v>
      </c>
      <c r="Q8" s="14">
        <v>2116531</v>
      </c>
      <c r="R8" s="16">
        <v>741.8</v>
      </c>
      <c r="S8" s="14">
        <v>7092267</v>
      </c>
      <c r="T8" s="16">
        <v>2485.6999999999998</v>
      </c>
      <c r="U8" s="14">
        <v>1228391</v>
      </c>
      <c r="V8" s="15">
        <v>430.5</v>
      </c>
    </row>
    <row r="9" spans="1:22" x14ac:dyDescent="0.2">
      <c r="A9" s="13">
        <v>2002</v>
      </c>
      <c r="B9" s="14">
        <v>287973924</v>
      </c>
      <c r="C9" s="14">
        <v>1423677</v>
      </c>
      <c r="D9" s="15">
        <v>494.4</v>
      </c>
      <c r="E9" s="14">
        <v>16229</v>
      </c>
      <c r="F9" s="15">
        <v>5.6</v>
      </c>
      <c r="G9" s="14"/>
      <c r="H9" s="15"/>
      <c r="I9" s="14">
        <v>95235</v>
      </c>
      <c r="J9" s="15">
        <v>33.1</v>
      </c>
      <c r="K9" s="14">
        <v>420806</v>
      </c>
      <c r="L9" s="15">
        <v>146.1</v>
      </c>
      <c r="M9" s="14">
        <v>891407</v>
      </c>
      <c r="N9" s="15">
        <v>309.5</v>
      </c>
      <c r="O9" s="14">
        <v>10455277</v>
      </c>
      <c r="P9" s="16">
        <v>3630.6</v>
      </c>
      <c r="Q9" s="14">
        <v>2151252</v>
      </c>
      <c r="R9" s="16">
        <v>747</v>
      </c>
      <c r="S9" s="14">
        <v>7057379</v>
      </c>
      <c r="T9" s="16">
        <v>2450.6999999999998</v>
      </c>
      <c r="U9" s="14">
        <v>1246646</v>
      </c>
      <c r="V9" s="15">
        <v>432.9</v>
      </c>
    </row>
    <row r="10" spans="1:22" x14ac:dyDescent="0.2">
      <c r="A10" s="13" t="s">
        <v>28</v>
      </c>
      <c r="B10" s="14">
        <v>290788976</v>
      </c>
      <c r="C10" s="14">
        <v>1383676</v>
      </c>
      <c r="D10" s="15">
        <v>475.8</v>
      </c>
      <c r="E10" s="14">
        <v>16528</v>
      </c>
      <c r="F10" s="15">
        <v>5.7</v>
      </c>
      <c r="G10" s="14"/>
      <c r="H10" s="15"/>
      <c r="I10" s="14">
        <v>93883</v>
      </c>
      <c r="J10" s="15">
        <v>32.299999999999997</v>
      </c>
      <c r="K10" s="14">
        <v>414235</v>
      </c>
      <c r="L10" s="15">
        <v>142.5</v>
      </c>
      <c r="M10" s="14">
        <v>859030</v>
      </c>
      <c r="N10" s="15">
        <v>295.39999999999998</v>
      </c>
      <c r="O10" s="14">
        <v>10442862</v>
      </c>
      <c r="P10" s="16">
        <v>3591.2</v>
      </c>
      <c r="Q10" s="14">
        <v>2154834</v>
      </c>
      <c r="R10" s="16">
        <v>741</v>
      </c>
      <c r="S10" s="14">
        <v>7026802</v>
      </c>
      <c r="T10" s="16">
        <v>2416.5</v>
      </c>
      <c r="U10" s="14">
        <v>1261226</v>
      </c>
      <c r="V10" s="15">
        <v>433.7</v>
      </c>
    </row>
    <row r="11" spans="1:22" x14ac:dyDescent="0.2">
      <c r="A11" s="13" t="s">
        <v>29</v>
      </c>
      <c r="B11" s="14">
        <v>293656842</v>
      </c>
      <c r="C11" s="14">
        <v>1360088</v>
      </c>
      <c r="D11" s="15">
        <v>463.2</v>
      </c>
      <c r="E11" s="14">
        <v>16148</v>
      </c>
      <c r="F11" s="15">
        <v>5.5</v>
      </c>
      <c r="G11" s="14"/>
      <c r="H11" s="15"/>
      <c r="I11" s="14">
        <v>95089</v>
      </c>
      <c r="J11" s="15">
        <v>32.4</v>
      </c>
      <c r="K11" s="14">
        <v>401470</v>
      </c>
      <c r="L11" s="15">
        <v>136.69999999999999</v>
      </c>
      <c r="M11" s="14">
        <v>847381</v>
      </c>
      <c r="N11" s="15">
        <v>288.60000000000002</v>
      </c>
      <c r="O11" s="14">
        <v>10319386</v>
      </c>
      <c r="P11" s="16">
        <v>3514.1</v>
      </c>
      <c r="Q11" s="14">
        <v>2144446</v>
      </c>
      <c r="R11" s="16">
        <v>730.3</v>
      </c>
      <c r="S11" s="14">
        <v>6937089</v>
      </c>
      <c r="T11" s="16">
        <v>2362.3000000000002</v>
      </c>
      <c r="U11" s="14">
        <v>1237851</v>
      </c>
      <c r="V11" s="15">
        <v>421.5</v>
      </c>
    </row>
    <row r="12" spans="1:22" x14ac:dyDescent="0.2">
      <c r="A12" s="13" t="s">
        <v>30</v>
      </c>
      <c r="B12" s="14">
        <v>296507061</v>
      </c>
      <c r="C12" s="14">
        <v>1390745</v>
      </c>
      <c r="D12" s="15">
        <v>469</v>
      </c>
      <c r="E12" s="14">
        <v>16740</v>
      </c>
      <c r="F12" s="15">
        <v>5.6</v>
      </c>
      <c r="G12" s="14"/>
      <c r="H12" s="15"/>
      <c r="I12" s="14">
        <v>94347</v>
      </c>
      <c r="J12" s="15">
        <v>31.8</v>
      </c>
      <c r="K12" s="14">
        <v>417438</v>
      </c>
      <c r="L12" s="15">
        <v>140.80000000000001</v>
      </c>
      <c r="M12" s="14">
        <v>862220</v>
      </c>
      <c r="N12" s="15">
        <v>290.8</v>
      </c>
      <c r="O12" s="14">
        <v>10174754</v>
      </c>
      <c r="P12" s="16">
        <v>3431.5</v>
      </c>
      <c r="Q12" s="14">
        <v>2155448</v>
      </c>
      <c r="R12" s="16">
        <v>726.9</v>
      </c>
      <c r="S12" s="14">
        <v>6783447</v>
      </c>
      <c r="T12" s="16">
        <v>2287.8000000000002</v>
      </c>
      <c r="U12" s="14">
        <v>1235859</v>
      </c>
      <c r="V12" s="15">
        <v>416.8</v>
      </c>
    </row>
    <row r="13" spans="1:22" x14ac:dyDescent="0.2">
      <c r="A13" s="13" t="s">
        <v>31</v>
      </c>
      <c r="B13" s="14">
        <v>299398484</v>
      </c>
      <c r="C13" s="14">
        <v>1435123</v>
      </c>
      <c r="D13" s="15">
        <v>479.3</v>
      </c>
      <c r="E13" s="14">
        <v>17309</v>
      </c>
      <c r="F13" s="15">
        <v>5.8</v>
      </c>
      <c r="G13" s="14" t="s">
        <v>2</v>
      </c>
      <c r="H13" s="15"/>
      <c r="I13" s="14">
        <v>94472</v>
      </c>
      <c r="J13" s="15">
        <v>31.6</v>
      </c>
      <c r="K13" s="14">
        <v>449246</v>
      </c>
      <c r="L13" s="15">
        <v>150</v>
      </c>
      <c r="M13" s="14">
        <v>874096</v>
      </c>
      <c r="N13" s="15">
        <v>292</v>
      </c>
      <c r="O13" s="14">
        <v>10019601</v>
      </c>
      <c r="P13" s="16">
        <v>3346.6</v>
      </c>
      <c r="Q13" s="14">
        <v>2194993</v>
      </c>
      <c r="R13" s="16">
        <v>733.1</v>
      </c>
      <c r="S13" s="14">
        <v>6626363</v>
      </c>
      <c r="T13" s="16">
        <v>2213.1999999999998</v>
      </c>
      <c r="U13" s="14">
        <v>1198245</v>
      </c>
      <c r="V13" s="15">
        <v>400.2</v>
      </c>
    </row>
    <row r="14" spans="1:22" x14ac:dyDescent="0.2">
      <c r="A14" s="13" t="s">
        <v>32</v>
      </c>
      <c r="B14" s="8">
        <v>301621157</v>
      </c>
      <c r="C14" s="14">
        <v>1422970</v>
      </c>
      <c r="D14" s="15">
        <v>471.8</v>
      </c>
      <c r="E14" s="8">
        <v>17128</v>
      </c>
      <c r="F14" s="15">
        <v>5.7</v>
      </c>
      <c r="G14" s="8"/>
      <c r="H14" s="15"/>
      <c r="I14" s="8">
        <v>92160</v>
      </c>
      <c r="J14" s="15">
        <v>30.6</v>
      </c>
      <c r="K14" s="8">
        <v>447324</v>
      </c>
      <c r="L14" s="15">
        <v>148.30000000000001</v>
      </c>
      <c r="M14" s="8">
        <v>866358</v>
      </c>
      <c r="N14" s="15">
        <v>287.2</v>
      </c>
      <c r="O14" s="14">
        <v>9882212</v>
      </c>
      <c r="P14" s="16">
        <v>3276.4</v>
      </c>
      <c r="Q14" s="8">
        <v>2190198</v>
      </c>
      <c r="R14" s="16">
        <v>726.1</v>
      </c>
      <c r="S14" s="8">
        <v>6591542</v>
      </c>
      <c r="T14" s="16">
        <v>2185.4</v>
      </c>
      <c r="U14" s="8">
        <v>1100472</v>
      </c>
      <c r="V14" s="15">
        <v>364.9</v>
      </c>
    </row>
    <row r="15" spans="1:22" x14ac:dyDescent="0.2">
      <c r="A15" s="13" t="s">
        <v>33</v>
      </c>
      <c r="B15" s="8">
        <v>304059724</v>
      </c>
      <c r="C15" s="14">
        <v>1394461</v>
      </c>
      <c r="D15" s="15">
        <v>458.6</v>
      </c>
      <c r="E15" s="8">
        <v>16465</v>
      </c>
      <c r="F15" s="15">
        <v>5.4</v>
      </c>
      <c r="G15" s="8"/>
      <c r="H15" s="15"/>
      <c r="I15" s="8">
        <v>90750</v>
      </c>
      <c r="J15" s="15">
        <v>29.8</v>
      </c>
      <c r="K15" s="8">
        <v>443563</v>
      </c>
      <c r="L15" s="15">
        <v>145.9</v>
      </c>
      <c r="M15" s="8">
        <v>843683</v>
      </c>
      <c r="N15" s="15">
        <v>277.5</v>
      </c>
      <c r="O15" s="14">
        <v>9774152</v>
      </c>
      <c r="P15" s="16">
        <v>3214.6</v>
      </c>
      <c r="Q15" s="8">
        <v>2228887</v>
      </c>
      <c r="R15" s="16">
        <v>733</v>
      </c>
      <c r="S15" s="8">
        <v>6586206</v>
      </c>
      <c r="T15" s="16">
        <v>2166.1</v>
      </c>
      <c r="U15" s="8">
        <v>959059</v>
      </c>
      <c r="V15" s="15">
        <v>315.39999999999998</v>
      </c>
    </row>
    <row r="16" spans="1:22" x14ac:dyDescent="0.2">
      <c r="A16" s="13" t="s">
        <v>34</v>
      </c>
      <c r="B16" s="8">
        <v>307006550</v>
      </c>
      <c r="C16" s="14">
        <v>1325896</v>
      </c>
      <c r="D16" s="15">
        <v>431.9</v>
      </c>
      <c r="E16" s="8">
        <v>15399</v>
      </c>
      <c r="F16" s="15">
        <v>5</v>
      </c>
      <c r="G16" s="8"/>
      <c r="H16" s="15"/>
      <c r="I16" s="8">
        <v>89241</v>
      </c>
      <c r="J16" s="15">
        <v>29.1</v>
      </c>
      <c r="K16" s="8">
        <v>408742</v>
      </c>
      <c r="L16" s="15">
        <v>133.1</v>
      </c>
      <c r="M16" s="8">
        <v>812514</v>
      </c>
      <c r="N16" s="15">
        <v>264.7</v>
      </c>
      <c r="O16" s="14">
        <v>9337060</v>
      </c>
      <c r="P16" s="16">
        <v>3041.3</v>
      </c>
      <c r="Q16" s="8">
        <v>2203313</v>
      </c>
      <c r="R16" s="16">
        <v>717.7</v>
      </c>
      <c r="S16" s="8">
        <v>6338095</v>
      </c>
      <c r="T16" s="16">
        <v>2064.5</v>
      </c>
      <c r="U16" s="8">
        <v>795652</v>
      </c>
      <c r="V16" s="15">
        <v>259.2</v>
      </c>
    </row>
    <row r="17" spans="1:22" x14ac:dyDescent="0.2">
      <c r="A17" s="13" t="s">
        <v>35</v>
      </c>
      <c r="B17" s="8">
        <v>309330219</v>
      </c>
      <c r="C17" s="14">
        <v>1251248</v>
      </c>
      <c r="D17" s="15">
        <v>404.5</v>
      </c>
      <c r="E17" s="8">
        <v>14722</v>
      </c>
      <c r="F17" s="15">
        <v>4.8</v>
      </c>
      <c r="G17" s="8"/>
      <c r="H17" s="15"/>
      <c r="I17" s="8">
        <v>85593</v>
      </c>
      <c r="J17" s="15">
        <v>27.7</v>
      </c>
      <c r="K17" s="8">
        <v>369089</v>
      </c>
      <c r="L17" s="15">
        <v>119.3</v>
      </c>
      <c r="M17" s="8">
        <v>781844</v>
      </c>
      <c r="N17" s="15">
        <v>252.8</v>
      </c>
      <c r="O17" s="14">
        <v>9112625</v>
      </c>
      <c r="P17" s="16">
        <v>2945.9</v>
      </c>
      <c r="Q17" s="8">
        <v>2168459</v>
      </c>
      <c r="R17" s="16">
        <v>701</v>
      </c>
      <c r="S17" s="8">
        <v>6204601</v>
      </c>
      <c r="T17" s="16">
        <v>2005.8</v>
      </c>
      <c r="U17" s="8">
        <v>739565</v>
      </c>
      <c r="V17" s="15">
        <v>239.1</v>
      </c>
    </row>
    <row r="18" spans="1:22" x14ac:dyDescent="0.2">
      <c r="A18" s="13" t="s">
        <v>36</v>
      </c>
      <c r="B18" s="8">
        <v>311587816</v>
      </c>
      <c r="C18" s="14">
        <v>1206005</v>
      </c>
      <c r="D18" s="15">
        <v>387.1</v>
      </c>
      <c r="E18" s="8">
        <v>14661</v>
      </c>
      <c r="F18" s="15">
        <v>4.7</v>
      </c>
      <c r="G18" s="8"/>
      <c r="H18" s="15"/>
      <c r="I18" s="8">
        <v>84175</v>
      </c>
      <c r="J18" s="15">
        <v>27</v>
      </c>
      <c r="K18" s="8">
        <v>354746</v>
      </c>
      <c r="L18" s="15">
        <v>113.9</v>
      </c>
      <c r="M18" s="8">
        <v>752423</v>
      </c>
      <c r="N18" s="15">
        <v>241.5</v>
      </c>
      <c r="O18" s="14">
        <v>9052743</v>
      </c>
      <c r="P18" s="16">
        <v>2905.4</v>
      </c>
      <c r="Q18" s="8">
        <v>2185140</v>
      </c>
      <c r="R18" s="16">
        <v>701.3</v>
      </c>
      <c r="S18" s="8">
        <v>6151095</v>
      </c>
      <c r="T18" s="16">
        <v>1974.1</v>
      </c>
      <c r="U18" s="8">
        <v>716508</v>
      </c>
      <c r="V18" s="15">
        <v>230</v>
      </c>
    </row>
    <row r="19" spans="1:22" x14ac:dyDescent="0.2">
      <c r="A19" s="13" t="s">
        <v>37</v>
      </c>
      <c r="B19" s="8">
        <v>313873685</v>
      </c>
      <c r="C19" s="14">
        <v>1217057</v>
      </c>
      <c r="D19" s="15">
        <v>387.8</v>
      </c>
      <c r="E19" s="8">
        <v>14856</v>
      </c>
      <c r="F19" s="15">
        <v>4.7</v>
      </c>
      <c r="G19" s="8"/>
      <c r="H19" s="15"/>
      <c r="I19" s="8">
        <v>85141</v>
      </c>
      <c r="J19" s="15">
        <v>27.1</v>
      </c>
      <c r="K19" s="8">
        <v>355051</v>
      </c>
      <c r="L19" s="15">
        <v>113.1</v>
      </c>
      <c r="M19" s="8">
        <v>762009</v>
      </c>
      <c r="N19" s="15">
        <v>242.8</v>
      </c>
      <c r="O19" s="14">
        <v>9001992</v>
      </c>
      <c r="P19" s="16">
        <v>2868</v>
      </c>
      <c r="Q19" s="8">
        <v>2109932</v>
      </c>
      <c r="R19" s="16">
        <v>672.2</v>
      </c>
      <c r="S19" s="8">
        <v>6168874</v>
      </c>
      <c r="T19" s="16">
        <v>1965.4</v>
      </c>
      <c r="U19" s="8">
        <v>723186</v>
      </c>
      <c r="V19" s="15">
        <v>230.4</v>
      </c>
    </row>
    <row r="20" spans="1:22" x14ac:dyDescent="0.2">
      <c r="A20" s="13" t="s">
        <v>38</v>
      </c>
      <c r="B20" s="8">
        <v>316497531</v>
      </c>
      <c r="C20" s="14">
        <v>1168298</v>
      </c>
      <c r="D20" s="15">
        <v>369.1</v>
      </c>
      <c r="E20" s="8">
        <v>14319</v>
      </c>
      <c r="F20" s="15">
        <v>4.5</v>
      </c>
      <c r="G20" s="8">
        <v>113695</v>
      </c>
      <c r="H20" s="15">
        <v>35.9</v>
      </c>
      <c r="I20" s="8">
        <v>82109</v>
      </c>
      <c r="J20" s="15">
        <v>25.9</v>
      </c>
      <c r="K20" s="8">
        <v>345093</v>
      </c>
      <c r="L20" s="15">
        <v>109</v>
      </c>
      <c r="M20" s="8">
        <v>726777</v>
      </c>
      <c r="N20" s="15">
        <v>229.6</v>
      </c>
      <c r="O20" s="14">
        <v>8651892</v>
      </c>
      <c r="P20" s="16">
        <v>2733.6</v>
      </c>
      <c r="Q20" s="8">
        <v>1932139</v>
      </c>
      <c r="R20" s="16">
        <v>610.5</v>
      </c>
      <c r="S20" s="8">
        <v>6019465</v>
      </c>
      <c r="T20" s="16">
        <v>1901.9</v>
      </c>
      <c r="U20" s="8">
        <v>700288</v>
      </c>
      <c r="V20" s="15">
        <v>221.3</v>
      </c>
    </row>
    <row r="21" spans="1:22" x14ac:dyDescent="0.2">
      <c r="A21" s="13" t="s">
        <v>39</v>
      </c>
      <c r="B21" s="8">
        <v>318907401</v>
      </c>
      <c r="C21" s="14">
        <v>1153022</v>
      </c>
      <c r="D21" s="15">
        <v>361.6</v>
      </c>
      <c r="E21" s="8">
        <v>14164</v>
      </c>
      <c r="F21" s="15">
        <v>4.4000000000000004</v>
      </c>
      <c r="G21" s="8">
        <v>118027</v>
      </c>
      <c r="H21" s="15">
        <v>37</v>
      </c>
      <c r="I21" s="8">
        <v>84864</v>
      </c>
      <c r="J21" s="15">
        <v>26.6</v>
      </c>
      <c r="K21" s="8">
        <v>322905</v>
      </c>
      <c r="L21" s="15">
        <v>101.3</v>
      </c>
      <c r="M21" s="8">
        <v>731089</v>
      </c>
      <c r="N21" s="15">
        <v>229.2</v>
      </c>
      <c r="O21" s="14">
        <v>8209010</v>
      </c>
      <c r="P21" s="16">
        <v>2574.1</v>
      </c>
      <c r="Q21" s="8">
        <v>1713153</v>
      </c>
      <c r="R21" s="16">
        <v>537.20000000000005</v>
      </c>
      <c r="S21" s="8">
        <v>5809054</v>
      </c>
      <c r="T21" s="16">
        <v>1821.5</v>
      </c>
      <c r="U21" s="8">
        <v>686803</v>
      </c>
      <c r="V21" s="15">
        <v>215.4</v>
      </c>
    </row>
    <row r="22" spans="1:22" x14ac:dyDescent="0.2">
      <c r="A22" s="13" t="s">
        <v>40</v>
      </c>
      <c r="B22" s="8">
        <v>320896618</v>
      </c>
      <c r="C22" s="14">
        <v>1199310</v>
      </c>
      <c r="D22" s="15">
        <v>373.7</v>
      </c>
      <c r="E22" s="8">
        <v>15883</v>
      </c>
      <c r="F22" s="15">
        <v>4.9000000000000004</v>
      </c>
      <c r="G22" s="8">
        <v>126134</v>
      </c>
      <c r="H22" s="15">
        <v>39.299999999999997</v>
      </c>
      <c r="I22" s="8">
        <v>91261</v>
      </c>
      <c r="J22" s="15">
        <v>28.4</v>
      </c>
      <c r="K22" s="8">
        <v>328109</v>
      </c>
      <c r="L22" s="15">
        <v>102.2</v>
      </c>
      <c r="M22" s="8">
        <v>764057</v>
      </c>
      <c r="N22" s="15">
        <v>238.1</v>
      </c>
      <c r="O22" s="14">
        <v>8024115</v>
      </c>
      <c r="P22" s="16">
        <v>2500.5</v>
      </c>
      <c r="Q22" s="8">
        <v>1587564</v>
      </c>
      <c r="R22" s="16">
        <v>494.7</v>
      </c>
      <c r="S22" s="8">
        <v>5723488</v>
      </c>
      <c r="T22" s="16">
        <v>1783.6</v>
      </c>
      <c r="U22" s="8">
        <v>713063</v>
      </c>
      <c r="V22" s="15">
        <v>222.2</v>
      </c>
    </row>
    <row r="23" spans="1:22" x14ac:dyDescent="0.2">
      <c r="A23" s="13" t="s">
        <v>41</v>
      </c>
      <c r="B23" s="8">
        <v>323405935</v>
      </c>
      <c r="C23" s="14">
        <v>1250162</v>
      </c>
      <c r="D23" s="15">
        <v>386.6</v>
      </c>
      <c r="E23" s="8">
        <v>17413</v>
      </c>
      <c r="F23" s="15">
        <v>5.4</v>
      </c>
      <c r="G23" s="8">
        <v>132414</v>
      </c>
      <c r="H23" s="15">
        <v>40.9</v>
      </c>
      <c r="I23" s="8">
        <v>96970</v>
      </c>
      <c r="J23" s="15">
        <v>30</v>
      </c>
      <c r="K23" s="8">
        <v>332797</v>
      </c>
      <c r="L23" s="15">
        <v>102.9</v>
      </c>
      <c r="M23" s="8">
        <v>802982</v>
      </c>
      <c r="N23" s="15">
        <v>248.3</v>
      </c>
      <c r="O23" s="14">
        <v>7928530</v>
      </c>
      <c r="P23" s="16">
        <v>2451.6</v>
      </c>
      <c r="Q23" s="8">
        <v>1516405</v>
      </c>
      <c r="R23" s="16">
        <v>468.9</v>
      </c>
      <c r="S23" s="8">
        <v>5644835</v>
      </c>
      <c r="T23" s="16">
        <v>1745.4</v>
      </c>
      <c r="U23" s="8">
        <v>767290</v>
      </c>
      <c r="V23" s="15">
        <v>237.3</v>
      </c>
    </row>
    <row r="24" spans="1:22" x14ac:dyDescent="0.2">
      <c r="A24" s="13" t="s">
        <v>42</v>
      </c>
      <c r="B24" s="8">
        <v>325147121</v>
      </c>
      <c r="C24" s="14">
        <v>1247917</v>
      </c>
      <c r="D24" s="15">
        <v>383.8</v>
      </c>
      <c r="E24" s="8">
        <v>17294</v>
      </c>
      <c r="F24" s="15">
        <v>5.3</v>
      </c>
      <c r="G24" s="8">
        <v>135666</v>
      </c>
      <c r="H24" s="15">
        <v>41.7</v>
      </c>
      <c r="I24" s="8">
        <v>99708</v>
      </c>
      <c r="J24" s="15">
        <v>30.7</v>
      </c>
      <c r="K24" s="8">
        <v>320596</v>
      </c>
      <c r="L24" s="15">
        <v>98.6</v>
      </c>
      <c r="M24" s="8">
        <v>810319</v>
      </c>
      <c r="N24" s="15">
        <v>249.2</v>
      </c>
      <c r="O24" s="14">
        <v>7682988</v>
      </c>
      <c r="P24" s="16">
        <v>2362.9</v>
      </c>
      <c r="Q24" s="8">
        <v>1397045</v>
      </c>
      <c r="R24" s="16">
        <v>429.7</v>
      </c>
      <c r="S24" s="8">
        <v>5513000</v>
      </c>
      <c r="T24" s="16">
        <v>1695.5</v>
      </c>
      <c r="U24" s="8">
        <v>772943</v>
      </c>
      <c r="V24" s="15">
        <v>237.7</v>
      </c>
    </row>
    <row r="25" spans="1:22" x14ac:dyDescent="0.2">
      <c r="A25" s="13" t="s">
        <v>43</v>
      </c>
      <c r="B25" s="8">
        <v>326687501</v>
      </c>
      <c r="C25" s="14">
        <v>1209997</v>
      </c>
      <c r="D25" s="15">
        <v>370.4</v>
      </c>
      <c r="E25" s="8">
        <v>16374</v>
      </c>
      <c r="F25" s="15">
        <v>5</v>
      </c>
      <c r="G25" s="8">
        <v>143765</v>
      </c>
      <c r="H25" s="15">
        <v>44</v>
      </c>
      <c r="I25" s="8">
        <v>101363</v>
      </c>
      <c r="J25" s="15">
        <v>31</v>
      </c>
      <c r="K25" s="8">
        <v>281278</v>
      </c>
      <c r="L25" s="15">
        <v>86.1</v>
      </c>
      <c r="M25" s="8">
        <v>810982</v>
      </c>
      <c r="N25" s="15">
        <v>248.2</v>
      </c>
      <c r="O25" s="14">
        <v>7219084</v>
      </c>
      <c r="P25" s="16">
        <v>2209.8000000000002</v>
      </c>
      <c r="Q25" s="8">
        <v>1235013</v>
      </c>
      <c r="R25" s="16">
        <v>378</v>
      </c>
      <c r="S25" s="8">
        <v>5232167</v>
      </c>
      <c r="T25" s="16">
        <v>1601.6</v>
      </c>
      <c r="U25" s="8">
        <v>751904</v>
      </c>
      <c r="V25" s="15">
        <v>230.2</v>
      </c>
    </row>
    <row r="26" spans="1:22" x14ac:dyDescent="0.2">
      <c r="A26" s="13" t="s">
        <v>44</v>
      </c>
      <c r="B26" s="8">
        <v>328239523</v>
      </c>
      <c r="C26" s="14">
        <v>1203808</v>
      </c>
      <c r="D26" s="15">
        <v>366.7</v>
      </c>
      <c r="E26" s="8">
        <v>16425</v>
      </c>
      <c r="F26" s="15">
        <v>5</v>
      </c>
      <c r="G26" s="8">
        <v>139815</v>
      </c>
      <c r="H26" s="15">
        <v>42.6</v>
      </c>
      <c r="I26" s="8">
        <v>98213</v>
      </c>
      <c r="J26" s="15">
        <v>29.9</v>
      </c>
      <c r="K26" s="8">
        <v>267988</v>
      </c>
      <c r="L26" s="15">
        <v>81.599999999999994</v>
      </c>
      <c r="M26" s="8">
        <v>821182</v>
      </c>
      <c r="N26" s="15">
        <v>250.2</v>
      </c>
      <c r="O26" s="14">
        <v>6925677</v>
      </c>
      <c r="P26" s="16">
        <v>2109.9</v>
      </c>
      <c r="Q26" s="8">
        <v>1117696</v>
      </c>
      <c r="R26" s="16">
        <v>340.5</v>
      </c>
      <c r="S26" s="8">
        <v>5086096</v>
      </c>
      <c r="T26" s="16">
        <v>1549.5</v>
      </c>
      <c r="U26" s="8">
        <v>721885</v>
      </c>
      <c r="V26" s="15">
        <v>219.9</v>
      </c>
    </row>
    <row r="27" spans="1:22" x14ac:dyDescent="0.2">
      <c r="A27" s="17" t="s">
        <v>45</v>
      </c>
      <c r="B27" s="18"/>
      <c r="C27" s="18"/>
      <c r="D27" s="18"/>
      <c r="E27" s="18"/>
      <c r="F27" s="18"/>
      <c r="G27" s="18"/>
      <c r="H27" s="18"/>
      <c r="I27" s="18"/>
      <c r="J27" s="18"/>
      <c r="K27" s="18"/>
      <c r="L27" s="18"/>
      <c r="M27" s="18"/>
      <c r="N27" s="19"/>
      <c r="O27" s="19"/>
      <c r="P27" s="19"/>
      <c r="Q27" s="19"/>
      <c r="R27" s="19"/>
      <c r="S27" s="19"/>
      <c r="T27" s="19"/>
      <c r="U27" s="19"/>
      <c r="V27" s="19"/>
    </row>
    <row r="28" spans="1:22" x14ac:dyDescent="0.2">
      <c r="A28" s="20" t="s">
        <v>46</v>
      </c>
      <c r="Q28" s="7"/>
      <c r="R28" s="7"/>
      <c r="S28" s="7"/>
      <c r="T28" s="7"/>
      <c r="U28" s="7"/>
      <c r="V28" s="7"/>
    </row>
    <row r="29" spans="1:22" x14ac:dyDescent="0.2">
      <c r="A29" s="7" t="s">
        <v>47</v>
      </c>
      <c r="B29" s="21"/>
      <c r="C29" s="21"/>
      <c r="D29" s="21"/>
      <c r="E29" s="21"/>
      <c r="F29" s="21"/>
      <c r="G29" s="21"/>
      <c r="H29" s="21"/>
      <c r="I29" s="21"/>
      <c r="J29" s="21"/>
      <c r="K29" s="21"/>
      <c r="L29" s="21"/>
      <c r="M29" s="21"/>
      <c r="O29" s="7" t="s">
        <v>2</v>
      </c>
      <c r="P29" s="7"/>
      <c r="Q29" s="7"/>
      <c r="R29" s="7"/>
      <c r="S29" s="7"/>
      <c r="T29" s="7"/>
      <c r="U29" s="7"/>
      <c r="V29" s="7"/>
    </row>
    <row r="30" spans="1:22" x14ac:dyDescent="0.2">
      <c r="A30" s="7" t="s">
        <v>48</v>
      </c>
      <c r="B30" s="21"/>
      <c r="C30" s="21"/>
      <c r="D30" s="21"/>
      <c r="E30" s="21"/>
      <c r="F30" s="21"/>
      <c r="G30" s="21"/>
      <c r="H30" s="21"/>
      <c r="I30" s="21"/>
      <c r="J30" s="21"/>
      <c r="K30" s="21"/>
      <c r="L30" s="21"/>
      <c r="M30" s="21"/>
      <c r="O30" s="7"/>
      <c r="P30" s="7" t="s">
        <v>2</v>
      </c>
      <c r="Q30" s="7"/>
      <c r="R30" s="7"/>
      <c r="S30" s="7"/>
      <c r="T30" s="7"/>
      <c r="U30" s="7"/>
      <c r="V30" s="7"/>
    </row>
    <row r="31" spans="1:22" x14ac:dyDescent="0.2">
      <c r="A31" s="20" t="s">
        <v>49</v>
      </c>
      <c r="M31" s="8"/>
      <c r="N31" s="9"/>
      <c r="O31" s="8"/>
      <c r="P31" s="9"/>
      <c r="Q31" s="8" t="s">
        <v>2</v>
      </c>
      <c r="R31" s="9"/>
      <c r="S31" s="8"/>
      <c r="T31" s="9"/>
      <c r="U31" s="8"/>
      <c r="V31" s="9"/>
    </row>
    <row r="32" spans="1:22" x14ac:dyDescent="0.2">
      <c r="A32" s="20" t="s">
        <v>50</v>
      </c>
      <c r="B32" s="22"/>
      <c r="C32" s="22"/>
      <c r="D32" s="22"/>
      <c r="E32" s="22"/>
      <c r="F32" s="22"/>
      <c r="G32" s="22"/>
      <c r="H32" s="22"/>
      <c r="I32" s="22"/>
      <c r="J32" s="22"/>
      <c r="K32" s="22"/>
      <c r="L32" s="22"/>
      <c r="M32" s="22"/>
      <c r="N32" s="22"/>
      <c r="O32" s="22"/>
      <c r="P32" s="9" t="s">
        <v>2</v>
      </c>
      <c r="Q32" s="8"/>
      <c r="R32" s="9"/>
      <c r="S32" s="8"/>
      <c r="T32" s="9"/>
      <c r="U32" s="8"/>
      <c r="V32" s="9"/>
    </row>
    <row r="33" spans="1:17" x14ac:dyDescent="0.2">
      <c r="A33" s="7" t="s">
        <v>51</v>
      </c>
      <c r="B33" s="23"/>
      <c r="C33" s="23"/>
      <c r="D33" s="23"/>
      <c r="E33" s="23"/>
      <c r="F33" s="23"/>
      <c r="G33" s="23"/>
      <c r="H33" s="23"/>
      <c r="I33" s="23"/>
      <c r="J33" s="23"/>
      <c r="K33" s="23"/>
      <c r="L33" s="23"/>
      <c r="M33" s="23"/>
      <c r="N33" s="23"/>
      <c r="O33" s="23"/>
      <c r="P33" s="23"/>
      <c r="Q33" s="23"/>
    </row>
    <row r="39" spans="1:17" x14ac:dyDescent="0.2">
      <c r="A39" t="s">
        <v>336</v>
      </c>
    </row>
    <row r="42" spans="1:17" ht="40" x14ac:dyDescent="0.2">
      <c r="A42" s="10" t="s">
        <v>5</v>
      </c>
      <c r="B42" s="12" t="s">
        <v>8</v>
      </c>
    </row>
    <row r="43" spans="1:17" x14ac:dyDescent="0.2">
      <c r="A43" s="13">
        <v>2000</v>
      </c>
      <c r="B43" s="15">
        <v>506.5</v>
      </c>
    </row>
    <row r="44" spans="1:17" x14ac:dyDescent="0.2">
      <c r="A44" s="13" t="s">
        <v>27</v>
      </c>
      <c r="B44" s="15">
        <v>504.5</v>
      </c>
    </row>
    <row r="45" spans="1:17" x14ac:dyDescent="0.2">
      <c r="A45" s="13">
        <v>2002</v>
      </c>
      <c r="B45" s="15">
        <v>494.4</v>
      </c>
    </row>
    <row r="46" spans="1:17" x14ac:dyDescent="0.2">
      <c r="A46" s="13" t="s">
        <v>28</v>
      </c>
      <c r="B46" s="15">
        <v>475.8</v>
      </c>
    </row>
    <row r="47" spans="1:17" x14ac:dyDescent="0.2">
      <c r="A47" s="13" t="s">
        <v>29</v>
      </c>
      <c r="B47" s="15">
        <v>463.2</v>
      </c>
    </row>
    <row r="48" spans="1:17" x14ac:dyDescent="0.2">
      <c r="A48" s="13" t="s">
        <v>30</v>
      </c>
      <c r="B48" s="15">
        <v>469</v>
      </c>
    </row>
    <row r="49" spans="1:2" x14ac:dyDescent="0.2">
      <c r="A49" s="13" t="s">
        <v>31</v>
      </c>
      <c r="B49" s="15">
        <v>479.3</v>
      </c>
    </row>
    <row r="50" spans="1:2" x14ac:dyDescent="0.2">
      <c r="A50" s="13" t="s">
        <v>32</v>
      </c>
      <c r="B50" s="15">
        <v>471.8</v>
      </c>
    </row>
    <row r="51" spans="1:2" x14ac:dyDescent="0.2">
      <c r="A51" s="13" t="s">
        <v>33</v>
      </c>
      <c r="B51" s="15">
        <v>458.6</v>
      </c>
    </row>
    <row r="52" spans="1:2" x14ac:dyDescent="0.2">
      <c r="A52" s="13" t="s">
        <v>34</v>
      </c>
      <c r="B52" s="15">
        <v>431.9</v>
      </c>
    </row>
    <row r="53" spans="1:2" x14ac:dyDescent="0.2">
      <c r="A53" s="13" t="s">
        <v>35</v>
      </c>
      <c r="B53" s="15">
        <v>404.5</v>
      </c>
    </row>
    <row r="54" spans="1:2" x14ac:dyDescent="0.2">
      <c r="A54" s="13" t="s">
        <v>36</v>
      </c>
      <c r="B54" s="15">
        <v>387.1</v>
      </c>
    </row>
    <row r="55" spans="1:2" x14ac:dyDescent="0.2">
      <c r="A55" s="13" t="s">
        <v>37</v>
      </c>
      <c r="B55" s="15">
        <v>387.8</v>
      </c>
    </row>
    <row r="56" spans="1:2" x14ac:dyDescent="0.2">
      <c r="A56" s="13" t="s">
        <v>38</v>
      </c>
      <c r="B56" s="15">
        <v>369.1</v>
      </c>
    </row>
    <row r="57" spans="1:2" x14ac:dyDescent="0.2">
      <c r="A57" s="13" t="s">
        <v>39</v>
      </c>
      <c r="B57" s="15">
        <v>361.6</v>
      </c>
    </row>
    <row r="58" spans="1:2" x14ac:dyDescent="0.2">
      <c r="A58" s="13" t="s">
        <v>40</v>
      </c>
      <c r="B58" s="15">
        <v>373.7</v>
      </c>
    </row>
    <row r="59" spans="1:2" x14ac:dyDescent="0.2">
      <c r="A59" s="13" t="s">
        <v>41</v>
      </c>
      <c r="B59" s="15">
        <v>386.6</v>
      </c>
    </row>
    <row r="60" spans="1:2" x14ac:dyDescent="0.2">
      <c r="A60" s="13" t="s">
        <v>42</v>
      </c>
      <c r="B60" s="15">
        <v>383.8</v>
      </c>
    </row>
    <row r="61" spans="1:2" x14ac:dyDescent="0.2">
      <c r="A61" s="13" t="s">
        <v>43</v>
      </c>
      <c r="B61" s="15">
        <v>370.4</v>
      </c>
    </row>
    <row r="62" spans="1:2" x14ac:dyDescent="0.2">
      <c r="A62" s="13" t="s">
        <v>44</v>
      </c>
      <c r="B62" s="15">
        <v>366.7</v>
      </c>
    </row>
    <row r="65" spans="1:2" x14ac:dyDescent="0.2">
      <c r="A65" s="13" t="s">
        <v>337</v>
      </c>
    </row>
    <row r="67" spans="1:2" ht="40" x14ac:dyDescent="0.2">
      <c r="A67" s="10" t="s">
        <v>5</v>
      </c>
      <c r="B67" s="12" t="s">
        <v>8</v>
      </c>
    </row>
    <row r="68" spans="1:2" x14ac:dyDescent="0.2">
      <c r="A68" s="13">
        <v>2000</v>
      </c>
      <c r="B68" s="15">
        <v>506.5</v>
      </c>
    </row>
    <row r="69" spans="1:2" x14ac:dyDescent="0.2">
      <c r="A69" s="13" t="s">
        <v>338</v>
      </c>
      <c r="B69" s="15">
        <v>504.5</v>
      </c>
    </row>
    <row r="70" spans="1:2" x14ac:dyDescent="0.2">
      <c r="A70" s="13">
        <v>2002</v>
      </c>
      <c r="B70" s="15">
        <v>494.4</v>
      </c>
    </row>
    <row r="71" spans="1:2" x14ac:dyDescent="0.2">
      <c r="A71" s="13" t="s">
        <v>28</v>
      </c>
      <c r="B71" s="15">
        <v>475.8</v>
      </c>
    </row>
    <row r="72" spans="1:2" x14ac:dyDescent="0.2">
      <c r="A72" s="13" t="s">
        <v>29</v>
      </c>
      <c r="B72" s="15">
        <v>463.2</v>
      </c>
    </row>
    <row r="73" spans="1:2" x14ac:dyDescent="0.2">
      <c r="A73" s="13" t="s">
        <v>30</v>
      </c>
      <c r="B73" s="15">
        <v>469</v>
      </c>
    </row>
    <row r="74" spans="1:2" x14ac:dyDescent="0.2">
      <c r="A74" s="13" t="s">
        <v>31</v>
      </c>
      <c r="B74" s="15">
        <v>479.3</v>
      </c>
    </row>
    <row r="75" spans="1:2" x14ac:dyDescent="0.2">
      <c r="A75" s="13" t="s">
        <v>32</v>
      </c>
      <c r="B75" s="15">
        <v>471.8</v>
      </c>
    </row>
    <row r="76" spans="1:2" x14ac:dyDescent="0.2">
      <c r="A76" s="13" t="s">
        <v>33</v>
      </c>
      <c r="B76" s="15">
        <v>458.6</v>
      </c>
    </row>
    <row r="77" spans="1:2" x14ac:dyDescent="0.2">
      <c r="A77" s="13" t="s">
        <v>34</v>
      </c>
      <c r="B77" s="15">
        <v>431.9</v>
      </c>
    </row>
    <row r="78" spans="1:2" x14ac:dyDescent="0.2">
      <c r="A78" s="13" t="s">
        <v>35</v>
      </c>
      <c r="B78" s="15">
        <v>404.5</v>
      </c>
    </row>
    <row r="79" spans="1:2" x14ac:dyDescent="0.2">
      <c r="A79" s="13" t="s">
        <v>36</v>
      </c>
      <c r="B79" s="15">
        <v>387.1</v>
      </c>
    </row>
    <row r="80" spans="1:2" x14ac:dyDescent="0.2">
      <c r="A80" s="13" t="s">
        <v>37</v>
      </c>
      <c r="B80" s="15">
        <v>387.8</v>
      </c>
    </row>
    <row r="81" spans="1:2" x14ac:dyDescent="0.2">
      <c r="A81" s="13" t="s">
        <v>38</v>
      </c>
      <c r="B81" s="15">
        <v>369.1</v>
      </c>
    </row>
    <row r="82" spans="1:2" x14ac:dyDescent="0.2">
      <c r="A82" s="13" t="s">
        <v>39</v>
      </c>
      <c r="B82" s="15">
        <v>361.6</v>
      </c>
    </row>
    <row r="83" spans="1:2" x14ac:dyDescent="0.2">
      <c r="A83" s="13" t="s">
        <v>40</v>
      </c>
      <c r="B83" s="15">
        <v>373.7</v>
      </c>
    </row>
    <row r="84" spans="1:2" x14ac:dyDescent="0.2">
      <c r="A84" s="13" t="s">
        <v>41</v>
      </c>
      <c r="B84" s="15">
        <v>386.6</v>
      </c>
    </row>
    <row r="85" spans="1:2" x14ac:dyDescent="0.2">
      <c r="A85" s="13" t="s">
        <v>42</v>
      </c>
      <c r="B85" s="15">
        <v>383.8</v>
      </c>
    </row>
    <row r="86" spans="1:2" x14ac:dyDescent="0.2">
      <c r="A86" s="13" t="s">
        <v>339</v>
      </c>
      <c r="B86" s="15">
        <v>370.4</v>
      </c>
    </row>
    <row r="87" spans="1:2" x14ac:dyDescent="0.2">
      <c r="A87" s="13" t="s">
        <v>44</v>
      </c>
      <c r="B87" s="15">
        <v>366.7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D5D8F-A601-B740-94DE-EDCD9C72B018}">
  <dimension ref="A3:V78"/>
  <sheetViews>
    <sheetView topLeftCell="A53" workbookViewId="0">
      <selection activeCell="A55" sqref="A55:B76"/>
    </sheetView>
  </sheetViews>
  <sheetFormatPr baseColWidth="10" defaultRowHeight="16" x14ac:dyDescent="0.2"/>
  <sheetData>
    <row r="3" spans="1:22" x14ac:dyDescent="0.2">
      <c r="A3" s="24" t="s">
        <v>52</v>
      </c>
      <c r="B3" s="24"/>
      <c r="C3" s="24"/>
      <c r="D3" s="24"/>
      <c r="E3" s="24"/>
      <c r="F3" s="24"/>
      <c r="G3" s="24"/>
      <c r="H3" s="24"/>
      <c r="I3" s="24"/>
      <c r="J3" s="24"/>
      <c r="K3" s="24"/>
      <c r="L3" s="24"/>
      <c r="M3" s="24"/>
      <c r="N3" s="24"/>
      <c r="O3" s="24"/>
      <c r="P3" s="24"/>
      <c r="Q3" s="24"/>
      <c r="R3" s="24"/>
      <c r="S3" s="24"/>
      <c r="T3" s="24"/>
      <c r="U3" s="24"/>
      <c r="V3" s="24"/>
    </row>
    <row r="4" spans="1:22" x14ac:dyDescent="0.2">
      <c r="A4" s="25" t="s">
        <v>53</v>
      </c>
      <c r="B4" s="25"/>
      <c r="C4" s="25"/>
      <c r="D4" s="25"/>
      <c r="E4" s="26" t="s">
        <v>54</v>
      </c>
      <c r="F4" s="26"/>
      <c r="G4" s="26"/>
      <c r="H4" s="26"/>
      <c r="I4" s="26"/>
      <c r="J4" s="26"/>
      <c r="K4" s="26" t="s">
        <v>55</v>
      </c>
      <c r="L4" s="26"/>
      <c r="M4" s="26"/>
      <c r="N4" s="26"/>
      <c r="O4" s="26"/>
      <c r="P4" s="26"/>
      <c r="Q4" s="27"/>
      <c r="R4" s="27"/>
      <c r="S4" s="27"/>
      <c r="T4" s="27"/>
      <c r="U4" s="27"/>
      <c r="V4" s="27"/>
    </row>
    <row r="5" spans="1:22" x14ac:dyDescent="0.2">
      <c r="A5" s="28" t="s">
        <v>56</v>
      </c>
      <c r="B5" s="29" t="s">
        <v>57</v>
      </c>
      <c r="C5" s="30" t="s">
        <v>58</v>
      </c>
      <c r="D5" s="30"/>
      <c r="E5" s="31"/>
      <c r="F5" s="32" t="s">
        <v>57</v>
      </c>
      <c r="G5" s="32"/>
      <c r="H5" s="32" t="s">
        <v>58</v>
      </c>
      <c r="I5" s="32"/>
      <c r="J5" s="32"/>
      <c r="K5" s="31"/>
      <c r="L5" s="32" t="s">
        <v>57</v>
      </c>
      <c r="M5" s="32"/>
      <c r="N5" s="32" t="s">
        <v>58</v>
      </c>
      <c r="O5" s="32"/>
      <c r="P5" s="32"/>
      <c r="Q5" s="24"/>
      <c r="R5" s="24"/>
      <c r="S5" s="24"/>
      <c r="T5" s="24"/>
      <c r="U5" s="24"/>
      <c r="V5" s="24"/>
    </row>
    <row r="6" spans="1:22" x14ac:dyDescent="0.2">
      <c r="A6" s="33" t="s">
        <v>59</v>
      </c>
      <c r="B6" s="34">
        <v>19394</v>
      </c>
      <c r="C6" s="35">
        <v>6.8</v>
      </c>
      <c r="D6" s="35"/>
      <c r="E6" s="36"/>
      <c r="F6" s="37">
        <v>12658</v>
      </c>
      <c r="G6" s="37"/>
      <c r="H6" s="38">
        <v>9</v>
      </c>
      <c r="I6" s="38"/>
      <c r="J6" s="38"/>
      <c r="K6" s="36"/>
      <c r="L6" s="37">
        <v>6736</v>
      </c>
      <c r="M6" s="37"/>
      <c r="N6" s="38">
        <v>4.5999999999999996</v>
      </c>
      <c r="O6" s="38"/>
      <c r="P6" s="38"/>
      <c r="Q6" s="27"/>
      <c r="R6" s="27"/>
      <c r="S6" s="27"/>
      <c r="T6" s="27"/>
      <c r="U6" s="27"/>
      <c r="V6" s="27"/>
    </row>
    <row r="7" spans="1:22" x14ac:dyDescent="0.2">
      <c r="A7" s="39" t="s">
        <v>60</v>
      </c>
      <c r="B7" s="40">
        <v>23518</v>
      </c>
      <c r="C7" s="41">
        <v>8.1999999999999993</v>
      </c>
      <c r="D7" s="41"/>
      <c r="E7" s="42"/>
      <c r="F7" s="43">
        <v>15028</v>
      </c>
      <c r="G7" s="43"/>
      <c r="H7" s="44">
        <v>10.6</v>
      </c>
      <c r="I7" s="44"/>
      <c r="J7" s="44"/>
      <c r="K7" s="42"/>
      <c r="L7" s="43">
        <v>8490</v>
      </c>
      <c r="M7" s="43"/>
      <c r="N7" s="44">
        <v>5.8</v>
      </c>
      <c r="O7" s="44"/>
      <c r="P7" s="44"/>
      <c r="Q7" s="45"/>
      <c r="R7" s="45"/>
      <c r="S7" s="45"/>
      <c r="T7" s="45"/>
      <c r="U7" s="45"/>
      <c r="V7" s="45"/>
    </row>
    <row r="8" spans="1:22" x14ac:dyDescent="0.2">
      <c r="A8" s="39" t="s">
        <v>61</v>
      </c>
      <c r="B8" s="40">
        <v>25785</v>
      </c>
      <c r="C8" s="41">
        <v>8.9</v>
      </c>
      <c r="D8" s="41"/>
      <c r="E8" s="42"/>
      <c r="F8" s="43">
        <v>16399</v>
      </c>
      <c r="G8" s="43"/>
      <c r="H8" s="44">
        <v>11.5</v>
      </c>
      <c r="I8" s="44"/>
      <c r="J8" s="44"/>
      <c r="K8" s="42"/>
      <c r="L8" s="43">
        <v>9386</v>
      </c>
      <c r="M8" s="43"/>
      <c r="N8" s="44">
        <v>6.4</v>
      </c>
      <c r="O8" s="44"/>
      <c r="P8" s="44"/>
      <c r="Q8" s="45"/>
      <c r="R8" s="45"/>
      <c r="S8" s="45"/>
      <c r="T8" s="45"/>
      <c r="U8" s="45"/>
      <c r="V8" s="45"/>
    </row>
    <row r="9" spans="1:22" x14ac:dyDescent="0.2">
      <c r="A9" s="39" t="s">
        <v>62</v>
      </c>
      <c r="B9" s="40">
        <v>27424</v>
      </c>
      <c r="C9" s="41">
        <v>9.4</v>
      </c>
      <c r="D9" s="41"/>
      <c r="E9" s="42"/>
      <c r="F9" s="43">
        <v>17120</v>
      </c>
      <c r="G9" s="43"/>
      <c r="H9" s="44">
        <v>11.8</v>
      </c>
      <c r="I9" s="44"/>
      <c r="J9" s="44"/>
      <c r="K9" s="42"/>
      <c r="L9" s="43">
        <v>10304</v>
      </c>
      <c r="M9" s="43"/>
      <c r="N9" s="44">
        <v>6.9</v>
      </c>
      <c r="O9" s="44"/>
      <c r="P9" s="44"/>
      <c r="Q9" s="45"/>
      <c r="R9" s="45"/>
      <c r="S9" s="45"/>
      <c r="T9" s="45"/>
      <c r="U9" s="45"/>
      <c r="V9" s="45"/>
    </row>
    <row r="10" spans="1:22" x14ac:dyDescent="0.2">
      <c r="A10" s="39" t="s">
        <v>63</v>
      </c>
      <c r="B10" s="40">
        <v>29813</v>
      </c>
      <c r="C10" s="41">
        <v>10.1</v>
      </c>
      <c r="D10" s="41"/>
      <c r="E10" s="42"/>
      <c r="F10" s="43">
        <v>18724</v>
      </c>
      <c r="G10" s="43"/>
      <c r="H10" s="44">
        <v>12.8</v>
      </c>
      <c r="I10" s="44"/>
      <c r="J10" s="44"/>
      <c r="K10" s="42"/>
      <c r="L10" s="43">
        <v>11089</v>
      </c>
      <c r="M10" s="43"/>
      <c r="N10" s="44">
        <v>7.3</v>
      </c>
      <c r="O10" s="44"/>
      <c r="P10" s="44"/>
      <c r="Q10" s="45"/>
      <c r="R10" s="45"/>
      <c r="S10" s="45"/>
      <c r="T10" s="45"/>
      <c r="U10" s="45"/>
      <c r="V10" s="45"/>
    </row>
    <row r="11" spans="1:22" x14ac:dyDescent="0.2">
      <c r="A11" s="39" t="s">
        <v>64</v>
      </c>
      <c r="B11" s="40">
        <v>34425</v>
      </c>
      <c r="C11" s="41">
        <v>11.5</v>
      </c>
      <c r="D11" s="41"/>
      <c r="E11" s="42"/>
      <c r="F11" s="43">
        <v>21893</v>
      </c>
      <c r="G11" s="43"/>
      <c r="H11" s="44">
        <v>14.8</v>
      </c>
      <c r="I11" s="44"/>
      <c r="J11" s="44"/>
      <c r="K11" s="42"/>
      <c r="L11" s="43">
        <v>12532</v>
      </c>
      <c r="M11" s="43"/>
      <c r="N11" s="44">
        <v>8.1999999999999993</v>
      </c>
      <c r="O11" s="44"/>
      <c r="P11" s="44"/>
      <c r="Q11" s="45"/>
      <c r="R11" s="45"/>
      <c r="S11" s="45"/>
      <c r="T11" s="45"/>
      <c r="U11" s="45"/>
      <c r="V11" s="45"/>
    </row>
    <row r="12" spans="1:22" x14ac:dyDescent="0.2">
      <c r="A12" s="39" t="s">
        <v>65</v>
      </c>
      <c r="B12" s="40">
        <v>36010</v>
      </c>
      <c r="C12" s="41">
        <v>11.9</v>
      </c>
      <c r="D12" s="41"/>
      <c r="E12" s="42"/>
      <c r="F12" s="43">
        <v>22298</v>
      </c>
      <c r="G12" s="43"/>
      <c r="H12" s="44">
        <v>14.9</v>
      </c>
      <c r="I12" s="44"/>
      <c r="J12" s="44"/>
      <c r="K12" s="42"/>
      <c r="L12" s="43">
        <v>13712</v>
      </c>
      <c r="M12" s="43"/>
      <c r="N12" s="44">
        <v>8.8000000000000007</v>
      </c>
      <c r="O12" s="44"/>
      <c r="P12" s="44"/>
      <c r="Q12" s="45"/>
      <c r="R12" s="45"/>
      <c r="S12" s="45"/>
      <c r="T12" s="45"/>
      <c r="U12" s="45"/>
      <c r="V12" s="45"/>
    </row>
    <row r="13" spans="1:22" x14ac:dyDescent="0.2">
      <c r="A13" s="39" t="s">
        <v>66</v>
      </c>
      <c r="B13" s="40">
        <v>36450</v>
      </c>
      <c r="C13" s="41">
        <v>11.9</v>
      </c>
      <c r="D13" s="41"/>
      <c r="E13" s="42"/>
      <c r="F13" s="43">
        <v>22468</v>
      </c>
      <c r="G13" s="43"/>
      <c r="H13" s="44">
        <v>14.9</v>
      </c>
      <c r="I13" s="44"/>
      <c r="J13" s="44"/>
      <c r="K13" s="42"/>
      <c r="L13" s="43">
        <v>13982</v>
      </c>
      <c r="M13" s="43"/>
      <c r="N13" s="44">
        <v>8.9</v>
      </c>
      <c r="O13" s="44"/>
      <c r="P13" s="44"/>
      <c r="Q13" s="45"/>
      <c r="R13" s="45"/>
      <c r="S13" s="45"/>
      <c r="T13" s="45"/>
      <c r="U13" s="45"/>
      <c r="V13" s="45"/>
    </row>
    <row r="14" spans="1:22" x14ac:dyDescent="0.2">
      <c r="A14" s="39" t="s">
        <v>67</v>
      </c>
      <c r="B14" s="40">
        <v>37004</v>
      </c>
      <c r="C14" s="41">
        <v>11.9</v>
      </c>
      <c r="D14" s="41"/>
      <c r="E14" s="42"/>
      <c r="F14" s="43">
        <v>22593</v>
      </c>
      <c r="G14" s="43"/>
      <c r="H14" s="44">
        <v>14.8</v>
      </c>
      <c r="I14" s="44"/>
      <c r="J14" s="44"/>
      <c r="K14" s="42"/>
      <c r="L14" s="43">
        <v>14411</v>
      </c>
      <c r="M14" s="43"/>
      <c r="N14" s="44">
        <v>9.1</v>
      </c>
      <c r="O14" s="44"/>
      <c r="P14" s="44"/>
      <c r="Q14" s="45"/>
      <c r="R14" s="45"/>
      <c r="S14" s="45"/>
      <c r="T14" s="45"/>
      <c r="U14" s="45"/>
      <c r="V14" s="45"/>
    </row>
    <row r="15" spans="1:22" x14ac:dyDescent="0.2">
      <c r="A15" s="39" t="s">
        <v>68</v>
      </c>
      <c r="B15" s="40">
        <v>38329</v>
      </c>
      <c r="C15" s="41">
        <v>12.3</v>
      </c>
      <c r="D15" s="41"/>
      <c r="E15" s="42"/>
      <c r="F15" s="43">
        <v>23006</v>
      </c>
      <c r="G15" s="43"/>
      <c r="H15" s="44">
        <v>15</v>
      </c>
      <c r="I15" s="44"/>
      <c r="J15" s="44"/>
      <c r="K15" s="42"/>
      <c r="L15" s="43">
        <v>15323</v>
      </c>
      <c r="M15" s="43"/>
      <c r="N15" s="44">
        <v>9.6</v>
      </c>
      <c r="O15" s="44"/>
      <c r="P15" s="44"/>
      <c r="Q15" s="45"/>
      <c r="R15" s="45"/>
      <c r="S15" s="45"/>
      <c r="T15" s="45"/>
      <c r="U15" s="45"/>
      <c r="V15" s="45"/>
    </row>
    <row r="16" spans="1:22" x14ac:dyDescent="0.2">
      <c r="A16" s="39" t="s">
        <v>69</v>
      </c>
      <c r="B16" s="40">
        <v>41340</v>
      </c>
      <c r="C16" s="41">
        <v>13.2</v>
      </c>
      <c r="D16" s="41"/>
      <c r="E16" s="42"/>
      <c r="F16" s="43">
        <v>24988</v>
      </c>
      <c r="G16" s="43"/>
      <c r="H16" s="44">
        <v>16.100000000000001</v>
      </c>
      <c r="I16" s="44"/>
      <c r="J16" s="44"/>
      <c r="K16" s="42"/>
      <c r="L16" s="43">
        <v>16352</v>
      </c>
      <c r="M16" s="43"/>
      <c r="N16" s="44">
        <v>10.199999999999999</v>
      </c>
      <c r="O16" s="44"/>
      <c r="P16" s="44"/>
      <c r="Q16" s="45"/>
      <c r="R16" s="45"/>
      <c r="S16" s="45"/>
      <c r="T16" s="45"/>
      <c r="U16" s="45"/>
      <c r="V16" s="45"/>
    </row>
    <row r="17" spans="1:22" x14ac:dyDescent="0.2">
      <c r="A17" s="39" t="s">
        <v>70</v>
      </c>
      <c r="B17" s="40">
        <v>41502</v>
      </c>
      <c r="C17" s="41">
        <v>13.1</v>
      </c>
      <c r="D17" s="41"/>
      <c r="E17" s="42"/>
      <c r="F17" s="43">
        <v>25112</v>
      </c>
      <c r="G17" s="43"/>
      <c r="H17" s="44">
        <v>16.100000000000001</v>
      </c>
      <c r="I17" s="44"/>
      <c r="J17" s="44"/>
      <c r="K17" s="42"/>
      <c r="L17" s="43">
        <v>16390</v>
      </c>
      <c r="M17" s="43"/>
      <c r="N17" s="44">
        <v>10.199999999999999</v>
      </c>
      <c r="O17" s="44"/>
      <c r="P17" s="44"/>
      <c r="Q17" s="45"/>
      <c r="R17" s="45"/>
      <c r="S17" s="45"/>
      <c r="T17" s="45"/>
      <c r="U17" s="45"/>
      <c r="V17" s="45"/>
    </row>
    <row r="18" spans="1:22" x14ac:dyDescent="0.2">
      <c r="A18" s="39" t="s">
        <v>71</v>
      </c>
      <c r="B18" s="40">
        <v>43982</v>
      </c>
      <c r="C18" s="41">
        <v>13.8</v>
      </c>
      <c r="D18" s="41"/>
      <c r="E18" s="42"/>
      <c r="F18" s="43">
        <v>26799</v>
      </c>
      <c r="G18" s="43"/>
      <c r="H18" s="44">
        <v>17</v>
      </c>
      <c r="I18" s="44"/>
      <c r="J18" s="44"/>
      <c r="K18" s="42"/>
      <c r="L18" s="43">
        <v>17183</v>
      </c>
      <c r="M18" s="43"/>
      <c r="N18" s="44">
        <v>10.6</v>
      </c>
      <c r="O18" s="44"/>
      <c r="P18" s="44"/>
      <c r="Q18" s="45"/>
      <c r="R18" s="45"/>
      <c r="S18" s="45"/>
      <c r="T18" s="45"/>
      <c r="U18" s="45"/>
      <c r="V18" s="45"/>
    </row>
    <row r="19" spans="1:22" x14ac:dyDescent="0.2">
      <c r="A19" s="39" t="s">
        <v>72</v>
      </c>
      <c r="B19" s="40">
        <v>47055</v>
      </c>
      <c r="C19" s="41">
        <v>14.7</v>
      </c>
      <c r="D19" s="41"/>
      <c r="E19" s="42"/>
      <c r="F19" s="43">
        <v>28812</v>
      </c>
      <c r="G19" s="43"/>
      <c r="H19" s="44">
        <v>18.3</v>
      </c>
      <c r="I19" s="44"/>
      <c r="J19" s="44"/>
      <c r="K19" s="42"/>
      <c r="L19" s="43">
        <v>18243</v>
      </c>
      <c r="M19" s="43"/>
      <c r="N19" s="44">
        <v>11.1</v>
      </c>
      <c r="O19" s="44"/>
      <c r="P19" s="44"/>
      <c r="Q19" s="45"/>
      <c r="R19" s="45"/>
      <c r="S19" s="45"/>
      <c r="T19" s="45"/>
      <c r="U19" s="45"/>
      <c r="V19" s="45"/>
    </row>
    <row r="20" spans="1:22" x14ac:dyDescent="0.2">
      <c r="A20" s="39" t="s">
        <v>73</v>
      </c>
      <c r="B20" s="40">
        <v>52404</v>
      </c>
      <c r="C20" s="41">
        <v>16.3</v>
      </c>
      <c r="D20" s="41"/>
      <c r="E20" s="42"/>
      <c r="F20" s="43">
        <v>32957</v>
      </c>
      <c r="G20" s="43"/>
      <c r="H20" s="44">
        <v>20.8</v>
      </c>
      <c r="I20" s="44"/>
      <c r="J20" s="44"/>
      <c r="K20" s="42"/>
      <c r="L20" s="43">
        <v>19447</v>
      </c>
      <c r="M20" s="43"/>
      <c r="N20" s="44">
        <v>11.8</v>
      </c>
      <c r="O20" s="44"/>
      <c r="P20" s="44"/>
      <c r="Q20" s="45"/>
      <c r="R20" s="45"/>
      <c r="S20" s="45"/>
      <c r="T20" s="45"/>
      <c r="U20" s="45"/>
      <c r="V20" s="45"/>
    </row>
    <row r="21" spans="1:22" x14ac:dyDescent="0.2">
      <c r="A21" s="39" t="s">
        <v>74</v>
      </c>
      <c r="B21" s="40">
        <v>63632</v>
      </c>
      <c r="C21" s="41">
        <v>19.8</v>
      </c>
      <c r="D21" s="41"/>
      <c r="E21" s="42"/>
      <c r="F21" s="43">
        <v>41558</v>
      </c>
      <c r="G21" s="43"/>
      <c r="H21" s="44">
        <v>26.2</v>
      </c>
      <c r="I21" s="44"/>
      <c r="J21" s="44"/>
      <c r="K21" s="42"/>
      <c r="L21" s="43">
        <v>22074</v>
      </c>
      <c r="M21" s="43"/>
      <c r="N21" s="44">
        <v>13.4</v>
      </c>
      <c r="O21" s="44"/>
      <c r="P21" s="44"/>
      <c r="Q21" s="45"/>
      <c r="R21" s="45"/>
      <c r="S21" s="45"/>
      <c r="T21" s="45"/>
      <c r="U21" s="45"/>
      <c r="V21" s="45"/>
    </row>
    <row r="22" spans="1:22" x14ac:dyDescent="0.2">
      <c r="A22" s="39" t="s">
        <v>75</v>
      </c>
      <c r="B22" s="40">
        <v>70237</v>
      </c>
      <c r="C22" s="41">
        <v>21.7</v>
      </c>
      <c r="D22" s="41"/>
      <c r="E22" s="42"/>
      <c r="F22" s="43">
        <v>46552</v>
      </c>
      <c r="G22" s="43"/>
      <c r="H22" s="44">
        <v>29.1</v>
      </c>
      <c r="I22" s="44"/>
      <c r="J22" s="44"/>
      <c r="K22" s="42"/>
      <c r="L22" s="43">
        <v>23685</v>
      </c>
      <c r="M22" s="43"/>
      <c r="N22" s="44">
        <v>14.4</v>
      </c>
      <c r="O22" s="44"/>
      <c r="P22" s="44"/>
      <c r="Q22" s="45"/>
      <c r="R22" s="45"/>
      <c r="S22" s="45"/>
      <c r="T22" s="45"/>
      <c r="U22" s="45"/>
      <c r="V22" s="45"/>
    </row>
    <row r="23" spans="1:22" x14ac:dyDescent="0.2">
      <c r="A23" s="39" t="s">
        <v>76</v>
      </c>
      <c r="B23" s="40">
        <v>67367</v>
      </c>
      <c r="C23" s="41">
        <v>20.7</v>
      </c>
      <c r="D23" s="41"/>
      <c r="E23" s="42"/>
      <c r="F23" s="43">
        <v>44941</v>
      </c>
      <c r="G23" s="43"/>
      <c r="H23" s="44">
        <v>27.9</v>
      </c>
      <c r="I23" s="44"/>
      <c r="J23" s="44"/>
      <c r="K23" s="42"/>
      <c r="L23" s="43">
        <v>22426</v>
      </c>
      <c r="M23" s="43"/>
      <c r="N23" s="44">
        <v>13.6</v>
      </c>
      <c r="O23" s="44"/>
      <c r="P23" s="44"/>
      <c r="Q23" s="45"/>
      <c r="R23" s="45"/>
      <c r="S23" s="45"/>
      <c r="T23" s="45"/>
      <c r="U23" s="45"/>
      <c r="V23" s="45"/>
    </row>
    <row r="24" spans="1:22" x14ac:dyDescent="0.2">
      <c r="A24" s="39" t="s">
        <v>77</v>
      </c>
      <c r="B24" s="40">
        <v>70630</v>
      </c>
      <c r="C24" s="41">
        <v>21.6</v>
      </c>
      <c r="D24" s="41"/>
      <c r="E24" s="42"/>
      <c r="F24" s="43">
        <v>47881</v>
      </c>
      <c r="G24" s="43"/>
      <c r="H24" s="44">
        <v>29.6</v>
      </c>
      <c r="I24" s="44"/>
      <c r="J24" s="44"/>
      <c r="K24" s="42"/>
      <c r="L24" s="43">
        <v>22749</v>
      </c>
      <c r="M24" s="43"/>
      <c r="N24" s="44">
        <v>13.7</v>
      </c>
      <c r="O24" s="44"/>
      <c r="P24" s="44"/>
      <c r="Q24" s="45"/>
      <c r="R24" s="45"/>
      <c r="S24" s="45"/>
      <c r="T24" s="45"/>
      <c r="U24" s="45"/>
      <c r="V24" s="45"/>
    </row>
    <row r="25" spans="1:22" x14ac:dyDescent="0.2">
      <c r="A25" s="39" t="s">
        <v>78</v>
      </c>
      <c r="B25" s="40">
        <v>91799</v>
      </c>
      <c r="C25" s="41">
        <v>28.3</v>
      </c>
      <c r="D25" s="41"/>
      <c r="E25" s="42"/>
      <c r="F25" s="43">
        <v>63728</v>
      </c>
      <c r="G25" s="43"/>
      <c r="H25" s="44">
        <v>39.5</v>
      </c>
      <c r="I25" s="44"/>
      <c r="J25" s="44"/>
      <c r="K25" s="42"/>
      <c r="L25" s="43">
        <v>28071</v>
      </c>
      <c r="M25" s="43"/>
      <c r="N25" s="44">
        <v>17.100000000000001</v>
      </c>
      <c r="O25" s="44"/>
      <c r="P25" s="44"/>
      <c r="Q25" s="45"/>
      <c r="R25" s="45"/>
      <c r="S25" s="45"/>
      <c r="T25" s="45"/>
      <c r="U25" s="45"/>
      <c r="V25" s="45"/>
    </row>
    <row r="26" spans="1:22" x14ac:dyDescent="0.2">
      <c r="A26" s="46" t="s">
        <v>79</v>
      </c>
      <c r="B26" s="47">
        <v>106699</v>
      </c>
      <c r="C26" s="48">
        <v>32.4</v>
      </c>
      <c r="D26" s="48"/>
      <c r="E26" s="49"/>
      <c r="F26" s="50">
        <v>74301</v>
      </c>
      <c r="G26" s="50"/>
      <c r="H26" s="51">
        <v>45.1</v>
      </c>
      <c r="I26" s="51"/>
      <c r="J26" s="51"/>
      <c r="K26" s="49"/>
      <c r="L26" s="50">
        <v>32398</v>
      </c>
      <c r="M26" s="50"/>
      <c r="N26" s="51">
        <v>19.600000000000001</v>
      </c>
      <c r="O26" s="51"/>
      <c r="P26" s="51"/>
      <c r="Q26" s="27"/>
      <c r="R26" s="27"/>
      <c r="S26" s="27"/>
      <c r="T26" s="27"/>
      <c r="U26" s="27"/>
      <c r="V26" s="27"/>
    </row>
    <row r="29" spans="1:22" x14ac:dyDescent="0.2">
      <c r="A29" s="61" t="s">
        <v>340</v>
      </c>
    </row>
    <row r="31" spans="1:22" x14ac:dyDescent="0.2">
      <c r="A31" s="28" t="s">
        <v>56</v>
      </c>
      <c r="B31" s="29" t="s">
        <v>57</v>
      </c>
    </row>
    <row r="32" spans="1:22" x14ac:dyDescent="0.2">
      <c r="A32" s="33" t="s">
        <v>59</v>
      </c>
      <c r="B32" s="34">
        <v>19394</v>
      </c>
    </row>
    <row r="33" spans="1:2" x14ac:dyDescent="0.2">
      <c r="A33" s="39" t="s">
        <v>60</v>
      </c>
      <c r="B33" s="40">
        <v>23518</v>
      </c>
    </row>
    <row r="34" spans="1:2" x14ac:dyDescent="0.2">
      <c r="A34" s="39" t="s">
        <v>61</v>
      </c>
      <c r="B34" s="40">
        <v>25785</v>
      </c>
    </row>
    <row r="35" spans="1:2" x14ac:dyDescent="0.2">
      <c r="A35" s="39" t="s">
        <v>62</v>
      </c>
      <c r="B35" s="40">
        <v>27424</v>
      </c>
    </row>
    <row r="36" spans="1:2" x14ac:dyDescent="0.2">
      <c r="A36" s="39" t="s">
        <v>63</v>
      </c>
      <c r="B36" s="40">
        <v>29813</v>
      </c>
    </row>
    <row r="37" spans="1:2" x14ac:dyDescent="0.2">
      <c r="A37" s="39" t="s">
        <v>64</v>
      </c>
      <c r="B37" s="40">
        <v>34425</v>
      </c>
    </row>
    <row r="38" spans="1:2" x14ac:dyDescent="0.2">
      <c r="A38" s="39" t="s">
        <v>65</v>
      </c>
      <c r="B38" s="40">
        <v>36010</v>
      </c>
    </row>
    <row r="39" spans="1:2" x14ac:dyDescent="0.2">
      <c r="A39" s="39" t="s">
        <v>66</v>
      </c>
      <c r="B39" s="40">
        <v>36450</v>
      </c>
    </row>
    <row r="40" spans="1:2" x14ac:dyDescent="0.2">
      <c r="A40" s="39" t="s">
        <v>67</v>
      </c>
      <c r="B40" s="40">
        <v>37004</v>
      </c>
    </row>
    <row r="41" spans="1:2" x14ac:dyDescent="0.2">
      <c r="A41" s="39" t="s">
        <v>68</v>
      </c>
      <c r="B41" s="40">
        <v>38329</v>
      </c>
    </row>
    <row r="42" spans="1:2" x14ac:dyDescent="0.2">
      <c r="A42" s="39" t="s">
        <v>69</v>
      </c>
      <c r="B42" s="40">
        <v>41340</v>
      </c>
    </row>
    <row r="43" spans="1:2" x14ac:dyDescent="0.2">
      <c r="A43" s="39" t="s">
        <v>70</v>
      </c>
      <c r="B43" s="40">
        <v>41502</v>
      </c>
    </row>
    <row r="44" spans="1:2" x14ac:dyDescent="0.2">
      <c r="A44" s="39" t="s">
        <v>71</v>
      </c>
      <c r="B44" s="40">
        <v>43982</v>
      </c>
    </row>
    <row r="45" spans="1:2" x14ac:dyDescent="0.2">
      <c r="A45" s="39" t="s">
        <v>72</v>
      </c>
      <c r="B45" s="40">
        <v>47055</v>
      </c>
    </row>
    <row r="46" spans="1:2" x14ac:dyDescent="0.2">
      <c r="A46" s="39" t="s">
        <v>73</v>
      </c>
      <c r="B46" s="40">
        <v>52404</v>
      </c>
    </row>
    <row r="47" spans="1:2" x14ac:dyDescent="0.2">
      <c r="A47" s="39" t="s">
        <v>74</v>
      </c>
      <c r="B47" s="40">
        <v>63632</v>
      </c>
    </row>
    <row r="48" spans="1:2" x14ac:dyDescent="0.2">
      <c r="A48" s="39" t="s">
        <v>75</v>
      </c>
      <c r="B48" s="40">
        <v>70237</v>
      </c>
    </row>
    <row r="49" spans="1:15" x14ac:dyDescent="0.2">
      <c r="A49" s="39" t="s">
        <v>76</v>
      </c>
      <c r="B49" s="40">
        <v>67367</v>
      </c>
    </row>
    <row r="50" spans="1:15" x14ac:dyDescent="0.2">
      <c r="A50" s="39" t="s">
        <v>77</v>
      </c>
      <c r="B50" s="40">
        <v>70630</v>
      </c>
    </row>
    <row r="51" spans="1:15" x14ac:dyDescent="0.2">
      <c r="A51" s="39" t="s">
        <v>78</v>
      </c>
      <c r="B51" s="40">
        <v>91799</v>
      </c>
    </row>
    <row r="52" spans="1:15" x14ac:dyDescent="0.2">
      <c r="A52" s="46" t="s">
        <v>79</v>
      </c>
      <c r="B52" s="47">
        <v>106699</v>
      </c>
    </row>
    <row r="54" spans="1:15" x14ac:dyDescent="0.2">
      <c r="A54" s="61" t="s">
        <v>341</v>
      </c>
      <c r="F54" s="63" t="s">
        <v>343</v>
      </c>
      <c r="G54" s="63"/>
      <c r="H54" s="63"/>
      <c r="I54" s="63"/>
    </row>
    <row r="55" spans="1:15" x14ac:dyDescent="0.2">
      <c r="A55" s="60" t="s">
        <v>342</v>
      </c>
      <c r="B55" s="29" t="s">
        <v>57</v>
      </c>
      <c r="F55" s="64" t="s">
        <v>345</v>
      </c>
      <c r="G55" s="63"/>
      <c r="H55" s="63"/>
      <c r="I55" s="63"/>
      <c r="J55" s="63"/>
      <c r="K55" s="63"/>
      <c r="L55" s="63"/>
      <c r="M55" s="63"/>
      <c r="N55" s="63"/>
      <c r="O55" s="63"/>
    </row>
    <row r="56" spans="1:15" x14ac:dyDescent="0.2">
      <c r="A56" t="str">
        <f>LEFT(A32, FIND(".", A32) - 1)</f>
        <v>2001</v>
      </c>
      <c r="B56" s="34">
        <v>19394</v>
      </c>
    </row>
    <row r="57" spans="1:15" x14ac:dyDescent="0.2">
      <c r="A57" t="str">
        <f t="shared" ref="A57:A79" si="0">LEFT(A33, FIND(".", A33) - 1)</f>
        <v>2002</v>
      </c>
      <c r="B57" s="40">
        <v>23518</v>
      </c>
    </row>
    <row r="58" spans="1:15" x14ac:dyDescent="0.2">
      <c r="A58" t="str">
        <f t="shared" si="0"/>
        <v>2003</v>
      </c>
      <c r="B58" s="40">
        <v>25785</v>
      </c>
    </row>
    <row r="59" spans="1:15" x14ac:dyDescent="0.2">
      <c r="A59" t="str">
        <f t="shared" si="0"/>
        <v>2004</v>
      </c>
      <c r="B59" s="40">
        <v>27424</v>
      </c>
    </row>
    <row r="60" spans="1:15" x14ac:dyDescent="0.2">
      <c r="A60" t="str">
        <f t="shared" si="0"/>
        <v>2005</v>
      </c>
      <c r="B60" s="40">
        <v>29813</v>
      </c>
    </row>
    <row r="61" spans="1:15" x14ac:dyDescent="0.2">
      <c r="A61" t="str">
        <f t="shared" si="0"/>
        <v>2006</v>
      </c>
      <c r="B61" s="40">
        <v>34425</v>
      </c>
    </row>
    <row r="62" spans="1:15" x14ac:dyDescent="0.2">
      <c r="A62" t="str">
        <f t="shared" si="0"/>
        <v>2007</v>
      </c>
      <c r="B62" s="40">
        <v>36010</v>
      </c>
    </row>
    <row r="63" spans="1:15" x14ac:dyDescent="0.2">
      <c r="A63" t="str">
        <f t="shared" si="0"/>
        <v>2008</v>
      </c>
      <c r="B63" s="40">
        <v>36450</v>
      </c>
    </row>
    <row r="64" spans="1:15" x14ac:dyDescent="0.2">
      <c r="A64" t="str">
        <f t="shared" si="0"/>
        <v>2009</v>
      </c>
      <c r="B64" s="40">
        <v>37004</v>
      </c>
    </row>
    <row r="65" spans="1:2" x14ac:dyDescent="0.2">
      <c r="A65" t="str">
        <f t="shared" si="0"/>
        <v>2010</v>
      </c>
      <c r="B65" s="40">
        <v>38329</v>
      </c>
    </row>
    <row r="66" spans="1:2" x14ac:dyDescent="0.2">
      <c r="A66" t="str">
        <f t="shared" si="0"/>
        <v xml:space="preserve">2011 </v>
      </c>
      <c r="B66" s="40">
        <v>41340</v>
      </c>
    </row>
    <row r="67" spans="1:2" x14ac:dyDescent="0.2">
      <c r="A67" t="str">
        <f t="shared" si="0"/>
        <v>2012</v>
      </c>
      <c r="B67" s="40">
        <v>41502</v>
      </c>
    </row>
    <row r="68" spans="1:2" x14ac:dyDescent="0.2">
      <c r="A68" t="str">
        <f t="shared" si="0"/>
        <v>2013</v>
      </c>
      <c r="B68" s="40">
        <v>43982</v>
      </c>
    </row>
    <row r="69" spans="1:2" x14ac:dyDescent="0.2">
      <c r="A69" t="str">
        <f t="shared" si="0"/>
        <v>2014</v>
      </c>
      <c r="B69" s="40">
        <v>47055</v>
      </c>
    </row>
    <row r="70" spans="1:2" x14ac:dyDescent="0.2">
      <c r="A70" t="str">
        <f t="shared" si="0"/>
        <v>2015</v>
      </c>
      <c r="B70" s="40">
        <v>52404</v>
      </c>
    </row>
    <row r="71" spans="1:2" x14ac:dyDescent="0.2">
      <c r="A71" t="str">
        <f t="shared" si="0"/>
        <v>2016</v>
      </c>
      <c r="B71" s="40">
        <v>63632</v>
      </c>
    </row>
    <row r="72" spans="1:2" x14ac:dyDescent="0.2">
      <c r="A72" t="str">
        <f t="shared" si="0"/>
        <v>2017</v>
      </c>
      <c r="B72" s="40">
        <v>70237</v>
      </c>
    </row>
    <row r="73" spans="1:2" x14ac:dyDescent="0.2">
      <c r="A73" t="str">
        <f t="shared" si="0"/>
        <v>2018</v>
      </c>
      <c r="B73" s="40">
        <v>67367</v>
      </c>
    </row>
    <row r="74" spans="1:2" x14ac:dyDescent="0.2">
      <c r="A74" t="str">
        <f t="shared" si="0"/>
        <v>2019</v>
      </c>
      <c r="B74" s="40">
        <v>70630</v>
      </c>
    </row>
    <row r="75" spans="1:2" x14ac:dyDescent="0.2">
      <c r="A75" t="str">
        <f t="shared" si="0"/>
        <v>2020</v>
      </c>
      <c r="B75" s="40">
        <v>91799</v>
      </c>
    </row>
    <row r="76" spans="1:2" x14ac:dyDescent="0.2">
      <c r="A76" t="str">
        <f t="shared" si="0"/>
        <v>2021</v>
      </c>
      <c r="B76" s="47">
        <v>106699</v>
      </c>
    </row>
    <row r="78" spans="1:2" x14ac:dyDescent="0.2">
      <c r="A78" t="s">
        <v>344</v>
      </c>
    </row>
  </sheetData>
  <mergeCells count="137">
    <mergeCell ref="C26:D26"/>
    <mergeCell ref="F26:G26"/>
    <mergeCell ref="H26:J26"/>
    <mergeCell ref="L26:M26"/>
    <mergeCell ref="N26:P26"/>
    <mergeCell ref="Q26:V26"/>
    <mergeCell ref="C25:D25"/>
    <mergeCell ref="F25:G25"/>
    <mergeCell ref="H25:J25"/>
    <mergeCell ref="L25:M25"/>
    <mergeCell ref="N25:P25"/>
    <mergeCell ref="Q25:V25"/>
    <mergeCell ref="C24:D24"/>
    <mergeCell ref="F24:G24"/>
    <mergeCell ref="H24:J24"/>
    <mergeCell ref="L24:M24"/>
    <mergeCell ref="N24:P24"/>
    <mergeCell ref="Q24:V24"/>
    <mergeCell ref="C23:D23"/>
    <mergeCell ref="F23:G23"/>
    <mergeCell ref="H23:J23"/>
    <mergeCell ref="L23:M23"/>
    <mergeCell ref="N23:P23"/>
    <mergeCell ref="Q23:V23"/>
    <mergeCell ref="C22:D22"/>
    <mergeCell ref="F22:G22"/>
    <mergeCell ref="H22:J22"/>
    <mergeCell ref="L22:M22"/>
    <mergeCell ref="N22:P22"/>
    <mergeCell ref="Q22:V22"/>
    <mergeCell ref="C21:D21"/>
    <mergeCell ref="F21:G21"/>
    <mergeCell ref="H21:J21"/>
    <mergeCell ref="L21:M21"/>
    <mergeCell ref="N21:P21"/>
    <mergeCell ref="Q21:V21"/>
    <mergeCell ref="C20:D20"/>
    <mergeCell ref="F20:G20"/>
    <mergeCell ref="H20:J20"/>
    <mergeCell ref="L20:M20"/>
    <mergeCell ref="N20:P20"/>
    <mergeCell ref="Q20:V20"/>
    <mergeCell ref="C19:D19"/>
    <mergeCell ref="F19:G19"/>
    <mergeCell ref="H19:J19"/>
    <mergeCell ref="L19:M19"/>
    <mergeCell ref="N19:P19"/>
    <mergeCell ref="Q19:V19"/>
    <mergeCell ref="C18:D18"/>
    <mergeCell ref="F18:G18"/>
    <mergeCell ref="H18:J18"/>
    <mergeCell ref="L18:M18"/>
    <mergeCell ref="N18:P18"/>
    <mergeCell ref="Q18:V18"/>
    <mergeCell ref="C17:D17"/>
    <mergeCell ref="F17:G17"/>
    <mergeCell ref="H17:J17"/>
    <mergeCell ref="L17:M17"/>
    <mergeCell ref="N17:P17"/>
    <mergeCell ref="Q17:V17"/>
    <mergeCell ref="C16:D16"/>
    <mergeCell ref="F16:G16"/>
    <mergeCell ref="H16:J16"/>
    <mergeCell ref="L16:M16"/>
    <mergeCell ref="N16:P16"/>
    <mergeCell ref="Q16:V16"/>
    <mergeCell ref="C15:D15"/>
    <mergeCell ref="F15:G15"/>
    <mergeCell ref="H15:J15"/>
    <mergeCell ref="L15:M15"/>
    <mergeCell ref="N15:P15"/>
    <mergeCell ref="Q15:V15"/>
    <mergeCell ref="C14:D14"/>
    <mergeCell ref="F14:G14"/>
    <mergeCell ref="H14:J14"/>
    <mergeCell ref="L14:M14"/>
    <mergeCell ref="N14:P14"/>
    <mergeCell ref="Q14:V14"/>
    <mergeCell ref="C13:D13"/>
    <mergeCell ref="F13:G13"/>
    <mergeCell ref="H13:J13"/>
    <mergeCell ref="L13:M13"/>
    <mergeCell ref="N13:P13"/>
    <mergeCell ref="Q13:V13"/>
    <mergeCell ref="C12:D12"/>
    <mergeCell ref="F12:G12"/>
    <mergeCell ref="H12:J12"/>
    <mergeCell ref="L12:M12"/>
    <mergeCell ref="N12:P12"/>
    <mergeCell ref="Q12:V12"/>
    <mergeCell ref="C11:D11"/>
    <mergeCell ref="F11:G11"/>
    <mergeCell ref="H11:J11"/>
    <mergeCell ref="L11:M11"/>
    <mergeCell ref="N11:P11"/>
    <mergeCell ref="Q11:V11"/>
    <mergeCell ref="C10:D10"/>
    <mergeCell ref="F10:G10"/>
    <mergeCell ref="H10:J10"/>
    <mergeCell ref="L10:M10"/>
    <mergeCell ref="N10:P10"/>
    <mergeCell ref="Q10:V10"/>
    <mergeCell ref="C9:D9"/>
    <mergeCell ref="F9:G9"/>
    <mergeCell ref="H9:J9"/>
    <mergeCell ref="L9:M9"/>
    <mergeCell ref="N9:P9"/>
    <mergeCell ref="Q9:V9"/>
    <mergeCell ref="C8:D8"/>
    <mergeCell ref="F8:G8"/>
    <mergeCell ref="H8:J8"/>
    <mergeCell ref="L8:M8"/>
    <mergeCell ref="N8:P8"/>
    <mergeCell ref="Q8:V8"/>
    <mergeCell ref="C7:D7"/>
    <mergeCell ref="F7:G7"/>
    <mergeCell ref="H7:J7"/>
    <mergeCell ref="L7:M7"/>
    <mergeCell ref="N7:P7"/>
    <mergeCell ref="Q7:V7"/>
    <mergeCell ref="Q5:V5"/>
    <mergeCell ref="C6:D6"/>
    <mergeCell ref="F6:G6"/>
    <mergeCell ref="H6:J6"/>
    <mergeCell ref="L6:M6"/>
    <mergeCell ref="N6:P6"/>
    <mergeCell ref="Q6:V6"/>
    <mergeCell ref="A3:V3"/>
    <mergeCell ref="A4:D4"/>
    <mergeCell ref="E4:J4"/>
    <mergeCell ref="K4:P4"/>
    <mergeCell ref="Q4:V4"/>
    <mergeCell ref="C5:D5"/>
    <mergeCell ref="F5:G5"/>
    <mergeCell ref="H5:J5"/>
    <mergeCell ref="L5:M5"/>
    <mergeCell ref="N5:P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6FC72-3B80-EF41-AC53-3F280A2FC6A4}">
  <dimension ref="B1:Y262"/>
  <sheetViews>
    <sheetView topLeftCell="F1" workbookViewId="0">
      <selection activeCell="X2" sqref="X2:Y23"/>
    </sheetView>
  </sheetViews>
  <sheetFormatPr baseColWidth="10" defaultRowHeight="16" x14ac:dyDescent="0.2"/>
  <cols>
    <col min="19" max="19" width="13" bestFit="1" customWidth="1"/>
    <col min="20" max="20" width="31" bestFit="1" customWidth="1"/>
  </cols>
  <sheetData>
    <row r="1" spans="2:25" x14ac:dyDescent="0.2">
      <c r="G1" t="s">
        <v>349</v>
      </c>
      <c r="L1" t="s">
        <v>355</v>
      </c>
      <c r="S1" t="s">
        <v>359</v>
      </c>
      <c r="X1" t="s">
        <v>360</v>
      </c>
    </row>
    <row r="2" spans="2:25" x14ac:dyDescent="0.2">
      <c r="G2" s="63" t="s">
        <v>347</v>
      </c>
      <c r="H2" s="63"/>
      <c r="I2" s="63"/>
      <c r="J2" s="63"/>
      <c r="X2" t="s">
        <v>342</v>
      </c>
      <c r="Y2" t="s">
        <v>361</v>
      </c>
    </row>
    <row r="3" spans="2:25" x14ac:dyDescent="0.2">
      <c r="B3" s="52" t="s">
        <v>80</v>
      </c>
      <c r="C3" s="52"/>
      <c r="G3" t="s">
        <v>348</v>
      </c>
      <c r="H3" s="58" t="s">
        <v>83</v>
      </c>
      <c r="L3" t="s">
        <v>348</v>
      </c>
      <c r="M3" t="s">
        <v>83</v>
      </c>
      <c r="S3" s="66" t="s">
        <v>356</v>
      </c>
      <c r="T3" t="s">
        <v>358</v>
      </c>
      <c r="X3" s="68">
        <v>2004</v>
      </c>
      <c r="Y3" s="69">
        <v>0</v>
      </c>
    </row>
    <row r="4" spans="2:25" x14ac:dyDescent="0.2">
      <c r="B4" s="53" t="s">
        <v>81</v>
      </c>
      <c r="C4" s="54"/>
      <c r="G4" t="str">
        <f>LEFT(B7,4)</f>
        <v>2004</v>
      </c>
      <c r="H4" s="59">
        <v>0</v>
      </c>
      <c r="L4" t="s">
        <v>29</v>
      </c>
      <c r="M4">
        <v>0</v>
      </c>
      <c r="S4" s="67" t="s">
        <v>29</v>
      </c>
      <c r="T4" s="65">
        <v>0</v>
      </c>
      <c r="X4" s="68">
        <v>2005</v>
      </c>
      <c r="Y4" s="69">
        <v>0.5</v>
      </c>
    </row>
    <row r="5" spans="2:25" x14ac:dyDescent="0.2">
      <c r="B5" s="55"/>
      <c r="C5" s="56"/>
      <c r="G5" t="str">
        <f t="shared" ref="G5:G68" si="0">LEFT(B8,4)</f>
        <v>2004</v>
      </c>
      <c r="H5" s="59">
        <v>0</v>
      </c>
      <c r="L5" t="s">
        <v>29</v>
      </c>
      <c r="M5">
        <v>0</v>
      </c>
      <c r="S5" s="67" t="s">
        <v>30</v>
      </c>
      <c r="T5" s="65">
        <v>0.5</v>
      </c>
      <c r="X5" s="68">
        <v>2006</v>
      </c>
      <c r="Y5" s="69">
        <v>15</v>
      </c>
    </row>
    <row r="6" spans="2:25" x14ac:dyDescent="0.2">
      <c r="B6" s="57" t="s">
        <v>82</v>
      </c>
      <c r="C6" s="58" t="s">
        <v>83</v>
      </c>
      <c r="G6" t="str">
        <f t="shared" si="0"/>
        <v>2004</v>
      </c>
      <c r="H6" s="59">
        <v>0</v>
      </c>
      <c r="L6" t="s">
        <v>29</v>
      </c>
      <c r="M6">
        <v>0</v>
      </c>
      <c r="S6" s="67" t="s">
        <v>31</v>
      </c>
      <c r="T6" s="65">
        <v>15</v>
      </c>
      <c r="X6" s="68">
        <v>2007</v>
      </c>
      <c r="Y6" s="69">
        <v>52</v>
      </c>
    </row>
    <row r="7" spans="2:25" x14ac:dyDescent="0.2">
      <c r="B7" s="57" t="s">
        <v>84</v>
      </c>
      <c r="C7" s="59">
        <v>0</v>
      </c>
      <c r="G7" t="str">
        <f t="shared" si="0"/>
        <v>2004</v>
      </c>
      <c r="H7" s="59">
        <v>0</v>
      </c>
      <c r="L7" t="s">
        <v>29</v>
      </c>
      <c r="M7">
        <v>0</v>
      </c>
      <c r="S7" s="67" t="s">
        <v>32</v>
      </c>
      <c r="T7" s="65">
        <v>52</v>
      </c>
      <c r="X7" s="68">
        <v>2008</v>
      </c>
      <c r="Y7" s="69">
        <v>122</v>
      </c>
    </row>
    <row r="8" spans="2:25" x14ac:dyDescent="0.2">
      <c r="B8" s="57" t="s">
        <v>85</v>
      </c>
      <c r="C8" s="59">
        <v>0</v>
      </c>
      <c r="G8" t="str">
        <f t="shared" si="0"/>
        <v>2004</v>
      </c>
      <c r="H8" s="59">
        <v>0</v>
      </c>
      <c r="L8" t="s">
        <v>29</v>
      </c>
      <c r="M8">
        <v>0</v>
      </c>
      <c r="S8" s="67" t="s">
        <v>33</v>
      </c>
      <c r="T8" s="65">
        <v>122</v>
      </c>
      <c r="X8" s="68">
        <v>2009</v>
      </c>
      <c r="Y8" s="69">
        <v>265</v>
      </c>
    </row>
    <row r="9" spans="2:25" x14ac:dyDescent="0.2">
      <c r="B9" s="57" t="s">
        <v>86</v>
      </c>
      <c r="C9" s="59">
        <v>0</v>
      </c>
      <c r="G9" t="str">
        <f t="shared" si="0"/>
        <v>2004</v>
      </c>
      <c r="H9" s="59">
        <v>0</v>
      </c>
      <c r="L9" t="s">
        <v>29</v>
      </c>
      <c r="M9">
        <v>0</v>
      </c>
      <c r="S9" s="67" t="s">
        <v>34</v>
      </c>
      <c r="T9" s="65">
        <v>265</v>
      </c>
      <c r="X9" s="68">
        <v>2010</v>
      </c>
      <c r="Y9" s="69">
        <v>220</v>
      </c>
    </row>
    <row r="10" spans="2:25" x14ac:dyDescent="0.2">
      <c r="B10" s="57" t="s">
        <v>87</v>
      </c>
      <c r="C10" s="59">
        <v>0</v>
      </c>
      <c r="G10" t="str">
        <f t="shared" si="0"/>
        <v>2004</v>
      </c>
      <c r="H10" s="59">
        <v>0</v>
      </c>
      <c r="L10" t="s">
        <v>29</v>
      </c>
      <c r="M10">
        <v>0</v>
      </c>
      <c r="S10" s="67" t="s">
        <v>35</v>
      </c>
      <c r="T10" s="65">
        <v>220</v>
      </c>
      <c r="X10" s="68">
        <v>2011</v>
      </c>
      <c r="Y10" s="69">
        <v>194</v>
      </c>
    </row>
    <row r="11" spans="2:25" x14ac:dyDescent="0.2">
      <c r="B11" s="57" t="s">
        <v>88</v>
      </c>
      <c r="C11" s="59">
        <v>0</v>
      </c>
      <c r="G11" t="str">
        <f t="shared" si="0"/>
        <v>2004</v>
      </c>
      <c r="H11" s="59">
        <v>0</v>
      </c>
      <c r="L11" t="s">
        <v>29</v>
      </c>
      <c r="M11">
        <v>0</v>
      </c>
      <c r="S11" s="67" t="s">
        <v>36</v>
      </c>
      <c r="T11" s="65">
        <v>194</v>
      </c>
      <c r="X11" s="68">
        <v>2012</v>
      </c>
      <c r="Y11" s="69">
        <v>235</v>
      </c>
    </row>
    <row r="12" spans="2:25" x14ac:dyDescent="0.2">
      <c r="B12" s="57" t="s">
        <v>89</v>
      </c>
      <c r="C12" s="59">
        <v>0</v>
      </c>
      <c r="G12" t="str">
        <f t="shared" si="0"/>
        <v>2004</v>
      </c>
      <c r="H12" s="59">
        <v>0</v>
      </c>
      <c r="L12" t="s">
        <v>29</v>
      </c>
      <c r="M12">
        <v>0</v>
      </c>
      <c r="S12" s="67" t="s">
        <v>37</v>
      </c>
      <c r="T12" s="65">
        <v>235</v>
      </c>
      <c r="X12" s="68">
        <v>2013</v>
      </c>
      <c r="Y12" s="69">
        <v>220</v>
      </c>
    </row>
    <row r="13" spans="2:25" x14ac:dyDescent="0.2">
      <c r="B13" s="57" t="s">
        <v>90</v>
      </c>
      <c r="C13" s="59">
        <v>0</v>
      </c>
      <c r="G13" t="str">
        <f t="shared" si="0"/>
        <v>2004</v>
      </c>
      <c r="H13" s="59">
        <v>0</v>
      </c>
      <c r="L13" t="s">
        <v>29</v>
      </c>
      <c r="M13">
        <v>0</v>
      </c>
      <c r="S13" s="67" t="s">
        <v>38</v>
      </c>
      <c r="T13" s="65">
        <v>220</v>
      </c>
      <c r="X13" s="68">
        <v>2014</v>
      </c>
      <c r="Y13" s="69">
        <v>203</v>
      </c>
    </row>
    <row r="14" spans="2:25" x14ac:dyDescent="0.2">
      <c r="B14" s="57" t="s">
        <v>91</v>
      </c>
      <c r="C14" s="59">
        <v>0</v>
      </c>
      <c r="G14" t="str">
        <f t="shared" si="0"/>
        <v>2004</v>
      </c>
      <c r="H14" s="59">
        <v>0</v>
      </c>
      <c r="L14" t="s">
        <v>29</v>
      </c>
      <c r="M14">
        <v>0</v>
      </c>
      <c r="S14" s="67" t="s">
        <v>39</v>
      </c>
      <c r="T14" s="65">
        <v>203</v>
      </c>
      <c r="X14" s="68">
        <v>2015</v>
      </c>
      <c r="Y14" s="69">
        <v>275</v>
      </c>
    </row>
    <row r="15" spans="2:25" x14ac:dyDescent="0.2">
      <c r="B15" s="57" t="s">
        <v>92</v>
      </c>
      <c r="C15" s="59">
        <v>0</v>
      </c>
      <c r="G15" t="str">
        <f t="shared" si="0"/>
        <v>2004</v>
      </c>
      <c r="H15" s="59">
        <v>0</v>
      </c>
      <c r="L15" t="s">
        <v>29</v>
      </c>
      <c r="M15">
        <v>0</v>
      </c>
      <c r="S15" s="67" t="s">
        <v>40</v>
      </c>
      <c r="T15" s="65">
        <v>275</v>
      </c>
      <c r="X15" s="68">
        <v>2016</v>
      </c>
      <c r="Y15" s="69">
        <v>181</v>
      </c>
    </row>
    <row r="16" spans="2:25" x14ac:dyDescent="0.2">
      <c r="B16" s="57" t="s">
        <v>93</v>
      </c>
      <c r="C16" s="59">
        <v>0</v>
      </c>
      <c r="G16" t="str">
        <f t="shared" si="0"/>
        <v>2005</v>
      </c>
      <c r="H16" s="59">
        <v>0</v>
      </c>
      <c r="L16" t="s">
        <v>30</v>
      </c>
      <c r="M16">
        <v>0</v>
      </c>
      <c r="S16" s="67" t="s">
        <v>41</v>
      </c>
      <c r="T16" s="65">
        <v>181</v>
      </c>
      <c r="X16" s="68">
        <v>2017</v>
      </c>
      <c r="Y16" s="69">
        <v>150</v>
      </c>
    </row>
    <row r="17" spans="2:25" x14ac:dyDescent="0.2">
      <c r="B17" s="57" t="s">
        <v>94</v>
      </c>
      <c r="C17" s="59">
        <v>0</v>
      </c>
      <c r="G17" t="str">
        <f t="shared" si="0"/>
        <v>2005</v>
      </c>
      <c r="H17" s="59">
        <v>0</v>
      </c>
      <c r="L17" t="s">
        <v>30</v>
      </c>
      <c r="M17">
        <v>0</v>
      </c>
      <c r="S17" s="67" t="s">
        <v>42</v>
      </c>
      <c r="T17" s="65">
        <v>150</v>
      </c>
      <c r="X17" s="68">
        <v>2018</v>
      </c>
      <c r="Y17" s="69">
        <v>106</v>
      </c>
    </row>
    <row r="18" spans="2:25" x14ac:dyDescent="0.2">
      <c r="B18" s="57" t="s">
        <v>95</v>
      </c>
      <c r="C18" s="59">
        <v>0</v>
      </c>
      <c r="G18" t="str">
        <f t="shared" si="0"/>
        <v>2005</v>
      </c>
      <c r="H18" s="59">
        <v>0</v>
      </c>
      <c r="L18" t="s">
        <v>30</v>
      </c>
      <c r="M18">
        <v>0</v>
      </c>
      <c r="S18" s="67" t="s">
        <v>339</v>
      </c>
      <c r="T18" s="65">
        <v>106</v>
      </c>
      <c r="X18" s="68">
        <v>2019</v>
      </c>
      <c r="Y18" s="69">
        <v>126</v>
      </c>
    </row>
    <row r="19" spans="2:25" x14ac:dyDescent="0.2">
      <c r="B19" s="57" t="s">
        <v>96</v>
      </c>
      <c r="C19" s="59">
        <v>0</v>
      </c>
      <c r="G19" t="str">
        <f t="shared" si="0"/>
        <v>2005</v>
      </c>
      <c r="H19" s="59">
        <v>0</v>
      </c>
      <c r="L19" t="s">
        <v>30</v>
      </c>
      <c r="M19">
        <v>0</v>
      </c>
      <c r="S19" s="67" t="s">
        <v>44</v>
      </c>
      <c r="T19" s="65">
        <v>126</v>
      </c>
      <c r="X19" s="68">
        <v>2020</v>
      </c>
      <c r="Y19" s="69">
        <v>102</v>
      </c>
    </row>
    <row r="20" spans="2:25" x14ac:dyDescent="0.2">
      <c r="B20" s="57" t="s">
        <v>97</v>
      </c>
      <c r="C20" s="59">
        <v>0</v>
      </c>
      <c r="G20" t="str">
        <f t="shared" si="0"/>
        <v>2005</v>
      </c>
      <c r="H20" s="59">
        <v>0</v>
      </c>
      <c r="L20" t="s">
        <v>30</v>
      </c>
      <c r="M20">
        <v>0</v>
      </c>
      <c r="S20" s="67" t="s">
        <v>350</v>
      </c>
      <c r="T20" s="65">
        <v>102</v>
      </c>
      <c r="X20" s="68">
        <v>2021</v>
      </c>
      <c r="Y20" s="69">
        <v>115</v>
      </c>
    </row>
    <row r="21" spans="2:25" x14ac:dyDescent="0.2">
      <c r="B21" s="57" t="s">
        <v>98</v>
      </c>
      <c r="C21" s="59">
        <v>0</v>
      </c>
      <c r="G21" t="str">
        <f t="shared" si="0"/>
        <v>2005</v>
      </c>
      <c r="H21" s="59">
        <v>0</v>
      </c>
      <c r="L21" t="s">
        <v>30</v>
      </c>
      <c r="M21">
        <v>0</v>
      </c>
      <c r="S21" s="67" t="s">
        <v>351</v>
      </c>
      <c r="T21" s="65">
        <v>115</v>
      </c>
      <c r="X21" s="68">
        <v>2022</v>
      </c>
      <c r="Y21" s="69">
        <v>173</v>
      </c>
    </row>
    <row r="22" spans="2:25" x14ac:dyDescent="0.2">
      <c r="B22" s="57" t="s">
        <v>99</v>
      </c>
      <c r="C22" s="59">
        <v>0</v>
      </c>
      <c r="G22" t="str">
        <f t="shared" si="0"/>
        <v>2005</v>
      </c>
      <c r="H22" s="59">
        <v>0</v>
      </c>
      <c r="L22" t="s">
        <v>30</v>
      </c>
      <c r="M22">
        <v>0</v>
      </c>
      <c r="S22" s="67" t="s">
        <v>352</v>
      </c>
      <c r="T22" s="65">
        <v>173</v>
      </c>
      <c r="X22" s="68">
        <v>2023</v>
      </c>
      <c r="Y22" s="69">
        <v>564</v>
      </c>
    </row>
    <row r="23" spans="2:25" x14ac:dyDescent="0.2">
      <c r="B23" s="57" t="s">
        <v>100</v>
      </c>
      <c r="C23" s="59">
        <v>0</v>
      </c>
      <c r="G23" t="str">
        <f t="shared" si="0"/>
        <v>2005</v>
      </c>
      <c r="H23" s="58" t="s">
        <v>104</v>
      </c>
      <c r="L23" t="s">
        <v>30</v>
      </c>
      <c r="M23">
        <v>0.5</v>
      </c>
      <c r="S23" s="67" t="s">
        <v>353</v>
      </c>
      <c r="T23" s="65">
        <v>564</v>
      </c>
      <c r="X23" s="68">
        <v>2024</v>
      </c>
      <c r="Y23" s="69">
        <v>465</v>
      </c>
    </row>
    <row r="24" spans="2:25" x14ac:dyDescent="0.2">
      <c r="B24" s="57" t="s">
        <v>101</v>
      </c>
      <c r="C24" s="59">
        <v>0</v>
      </c>
      <c r="G24" t="str">
        <f t="shared" si="0"/>
        <v>2005</v>
      </c>
      <c r="H24" s="59">
        <v>0</v>
      </c>
      <c r="L24" t="s">
        <v>30</v>
      </c>
      <c r="M24">
        <v>0</v>
      </c>
      <c r="S24" s="67" t="s">
        <v>354</v>
      </c>
      <c r="T24" s="65">
        <v>465</v>
      </c>
    </row>
    <row r="25" spans="2:25" x14ac:dyDescent="0.2">
      <c r="B25" s="57" t="s">
        <v>102</v>
      </c>
      <c r="C25" s="59">
        <v>0</v>
      </c>
      <c r="G25" t="str">
        <f t="shared" si="0"/>
        <v>2005</v>
      </c>
      <c r="H25" s="59">
        <v>0</v>
      </c>
      <c r="L25" t="s">
        <v>30</v>
      </c>
      <c r="M25">
        <v>0</v>
      </c>
      <c r="S25" s="67" t="s">
        <v>357</v>
      </c>
      <c r="T25" s="65">
        <v>3783.5</v>
      </c>
    </row>
    <row r="26" spans="2:25" x14ac:dyDescent="0.2">
      <c r="B26" s="57" t="s">
        <v>103</v>
      </c>
      <c r="C26" s="58" t="s">
        <v>104</v>
      </c>
      <c r="G26" t="str">
        <f t="shared" si="0"/>
        <v>2005</v>
      </c>
      <c r="H26" s="59">
        <v>0</v>
      </c>
      <c r="L26" t="s">
        <v>30</v>
      </c>
      <c r="M26">
        <v>0</v>
      </c>
    </row>
    <row r="27" spans="2:25" x14ac:dyDescent="0.2">
      <c r="B27" s="57" t="s">
        <v>105</v>
      </c>
      <c r="C27" s="59">
        <v>0</v>
      </c>
      <c r="G27" t="str">
        <f t="shared" si="0"/>
        <v>2005</v>
      </c>
      <c r="H27" s="59">
        <v>0</v>
      </c>
      <c r="L27" t="s">
        <v>30</v>
      </c>
      <c r="M27">
        <v>0</v>
      </c>
    </row>
    <row r="28" spans="2:25" x14ac:dyDescent="0.2">
      <c r="B28" s="57" t="s">
        <v>106</v>
      </c>
      <c r="C28" s="59">
        <v>0</v>
      </c>
      <c r="G28" t="str">
        <f t="shared" si="0"/>
        <v>2006</v>
      </c>
      <c r="H28" s="59">
        <v>0</v>
      </c>
      <c r="L28" t="s">
        <v>31</v>
      </c>
      <c r="M28">
        <v>0</v>
      </c>
    </row>
    <row r="29" spans="2:25" x14ac:dyDescent="0.2">
      <c r="B29" s="57" t="s">
        <v>107</v>
      </c>
      <c r="C29" s="59">
        <v>0</v>
      </c>
      <c r="G29" t="str">
        <f t="shared" si="0"/>
        <v>2006</v>
      </c>
      <c r="H29" s="59">
        <v>0</v>
      </c>
      <c r="L29" t="s">
        <v>31</v>
      </c>
      <c r="M29">
        <v>0</v>
      </c>
    </row>
    <row r="30" spans="2:25" x14ac:dyDescent="0.2">
      <c r="B30" s="57" t="s">
        <v>108</v>
      </c>
      <c r="C30" s="59">
        <v>0</v>
      </c>
      <c r="G30" t="str">
        <f t="shared" si="0"/>
        <v>2006</v>
      </c>
      <c r="H30" s="58" t="s">
        <v>104</v>
      </c>
      <c r="L30" t="s">
        <v>31</v>
      </c>
      <c r="M30">
        <v>0.5</v>
      </c>
    </row>
    <row r="31" spans="2:25" x14ac:dyDescent="0.2">
      <c r="B31" s="57" t="s">
        <v>109</v>
      </c>
      <c r="C31" s="59">
        <v>0</v>
      </c>
      <c r="G31" t="str">
        <f t="shared" si="0"/>
        <v>2006</v>
      </c>
      <c r="H31" s="58" t="s">
        <v>104</v>
      </c>
      <c r="L31" t="s">
        <v>31</v>
      </c>
      <c r="M31">
        <v>0.5</v>
      </c>
    </row>
    <row r="32" spans="2:25" x14ac:dyDescent="0.2">
      <c r="B32" s="57" t="s">
        <v>110</v>
      </c>
      <c r="C32" s="59">
        <v>0</v>
      </c>
      <c r="G32" t="str">
        <f t="shared" si="0"/>
        <v>2006</v>
      </c>
      <c r="H32" s="58" t="s">
        <v>104</v>
      </c>
      <c r="L32" t="s">
        <v>31</v>
      </c>
      <c r="M32">
        <v>0.5</v>
      </c>
    </row>
    <row r="33" spans="2:13" x14ac:dyDescent="0.2">
      <c r="B33" s="57" t="s">
        <v>111</v>
      </c>
      <c r="C33" s="58" t="s">
        <v>104</v>
      </c>
      <c r="G33" t="str">
        <f t="shared" si="0"/>
        <v>2006</v>
      </c>
      <c r="H33" s="58" t="s">
        <v>104</v>
      </c>
      <c r="L33" t="s">
        <v>31</v>
      </c>
      <c r="M33">
        <v>0.5</v>
      </c>
    </row>
    <row r="34" spans="2:13" x14ac:dyDescent="0.2">
      <c r="B34" s="57" t="s">
        <v>112</v>
      </c>
      <c r="C34" s="58" t="s">
        <v>104</v>
      </c>
      <c r="G34" t="str">
        <f t="shared" si="0"/>
        <v>2006</v>
      </c>
      <c r="H34" s="59">
        <v>1</v>
      </c>
      <c r="L34" t="s">
        <v>31</v>
      </c>
      <c r="M34">
        <v>1</v>
      </c>
    </row>
    <row r="35" spans="2:13" x14ac:dyDescent="0.2">
      <c r="B35" s="57" t="s">
        <v>113</v>
      </c>
      <c r="C35" s="58" t="s">
        <v>104</v>
      </c>
      <c r="G35" t="str">
        <f t="shared" si="0"/>
        <v>2006</v>
      </c>
      <c r="H35" s="59">
        <v>1</v>
      </c>
      <c r="L35" t="s">
        <v>31</v>
      </c>
      <c r="M35">
        <v>1</v>
      </c>
    </row>
    <row r="36" spans="2:13" x14ac:dyDescent="0.2">
      <c r="B36" s="57" t="s">
        <v>114</v>
      </c>
      <c r="C36" s="58" t="s">
        <v>104</v>
      </c>
      <c r="G36" t="str">
        <f t="shared" si="0"/>
        <v>2006</v>
      </c>
      <c r="H36" s="59">
        <v>2</v>
      </c>
      <c r="L36" t="s">
        <v>31</v>
      </c>
      <c r="M36">
        <v>2</v>
      </c>
    </row>
    <row r="37" spans="2:13" x14ac:dyDescent="0.2">
      <c r="B37" s="57" t="s">
        <v>115</v>
      </c>
      <c r="C37" s="59">
        <v>1</v>
      </c>
      <c r="G37" t="str">
        <f t="shared" si="0"/>
        <v>2006</v>
      </c>
      <c r="H37" s="59">
        <v>2</v>
      </c>
      <c r="L37" t="s">
        <v>31</v>
      </c>
      <c r="M37">
        <v>2</v>
      </c>
    </row>
    <row r="38" spans="2:13" x14ac:dyDescent="0.2">
      <c r="B38" s="57" t="s">
        <v>116</v>
      </c>
      <c r="C38" s="59">
        <v>1</v>
      </c>
      <c r="G38" t="str">
        <f t="shared" si="0"/>
        <v>2006</v>
      </c>
      <c r="H38" s="59">
        <v>4</v>
      </c>
      <c r="L38" t="s">
        <v>31</v>
      </c>
      <c r="M38">
        <v>4</v>
      </c>
    </row>
    <row r="39" spans="2:13" x14ac:dyDescent="0.2">
      <c r="B39" s="57" t="s">
        <v>117</v>
      </c>
      <c r="C39" s="59">
        <v>2</v>
      </c>
      <c r="G39" t="str">
        <f t="shared" si="0"/>
        <v>2006</v>
      </c>
      <c r="H39" s="59">
        <v>3</v>
      </c>
      <c r="L39" t="s">
        <v>31</v>
      </c>
      <c r="M39">
        <v>3</v>
      </c>
    </row>
    <row r="40" spans="2:13" x14ac:dyDescent="0.2">
      <c r="B40" s="57" t="s">
        <v>118</v>
      </c>
      <c r="C40" s="59">
        <v>2</v>
      </c>
      <c r="G40" t="str">
        <f t="shared" si="0"/>
        <v>2007</v>
      </c>
      <c r="H40" s="59">
        <v>3</v>
      </c>
      <c r="L40" t="s">
        <v>32</v>
      </c>
      <c r="M40">
        <v>3</v>
      </c>
    </row>
    <row r="41" spans="2:13" x14ac:dyDescent="0.2">
      <c r="B41" s="57" t="s">
        <v>119</v>
      </c>
      <c r="C41" s="59">
        <v>4</v>
      </c>
      <c r="G41" t="str">
        <f t="shared" si="0"/>
        <v>2007</v>
      </c>
      <c r="H41" s="59">
        <v>3</v>
      </c>
      <c r="L41" t="s">
        <v>32</v>
      </c>
      <c r="M41">
        <v>3</v>
      </c>
    </row>
    <row r="42" spans="2:13" x14ac:dyDescent="0.2">
      <c r="B42" s="57" t="s">
        <v>120</v>
      </c>
      <c r="C42" s="59">
        <v>3</v>
      </c>
      <c r="G42" t="str">
        <f t="shared" si="0"/>
        <v>2007</v>
      </c>
      <c r="H42" s="59">
        <v>3</v>
      </c>
      <c r="L42" t="s">
        <v>32</v>
      </c>
      <c r="M42">
        <v>3</v>
      </c>
    </row>
    <row r="43" spans="2:13" x14ac:dyDescent="0.2">
      <c r="B43" s="57" t="s">
        <v>121</v>
      </c>
      <c r="C43" s="59">
        <v>3</v>
      </c>
      <c r="G43" t="str">
        <f t="shared" si="0"/>
        <v>2007</v>
      </c>
      <c r="H43" s="59">
        <v>4</v>
      </c>
      <c r="L43" t="s">
        <v>32</v>
      </c>
      <c r="M43">
        <v>4</v>
      </c>
    </row>
    <row r="44" spans="2:13" x14ac:dyDescent="0.2">
      <c r="B44" s="57" t="s">
        <v>122</v>
      </c>
      <c r="C44" s="59">
        <v>3</v>
      </c>
      <c r="G44" t="str">
        <f t="shared" si="0"/>
        <v>2007</v>
      </c>
      <c r="H44" s="59">
        <v>5</v>
      </c>
      <c r="L44" t="s">
        <v>32</v>
      </c>
      <c r="M44">
        <v>5</v>
      </c>
    </row>
    <row r="45" spans="2:13" x14ac:dyDescent="0.2">
      <c r="B45" s="57" t="s">
        <v>123</v>
      </c>
      <c r="C45" s="59">
        <v>3</v>
      </c>
      <c r="G45" t="str">
        <f t="shared" si="0"/>
        <v>2007</v>
      </c>
      <c r="H45" s="59">
        <v>4</v>
      </c>
      <c r="L45" t="s">
        <v>32</v>
      </c>
      <c r="M45">
        <v>4</v>
      </c>
    </row>
    <row r="46" spans="2:13" x14ac:dyDescent="0.2">
      <c r="B46" s="57" t="s">
        <v>124</v>
      </c>
      <c r="C46" s="59">
        <v>4</v>
      </c>
      <c r="G46" t="str">
        <f t="shared" si="0"/>
        <v>2007</v>
      </c>
      <c r="H46" s="59">
        <v>4</v>
      </c>
      <c r="L46" t="s">
        <v>32</v>
      </c>
      <c r="M46">
        <v>4</v>
      </c>
    </row>
    <row r="47" spans="2:13" x14ac:dyDescent="0.2">
      <c r="B47" s="57" t="s">
        <v>125</v>
      </c>
      <c r="C47" s="59">
        <v>5</v>
      </c>
      <c r="G47" t="str">
        <f t="shared" si="0"/>
        <v>2007</v>
      </c>
      <c r="H47" s="59">
        <v>4</v>
      </c>
      <c r="L47" t="s">
        <v>32</v>
      </c>
      <c r="M47">
        <v>4</v>
      </c>
    </row>
    <row r="48" spans="2:13" x14ac:dyDescent="0.2">
      <c r="B48" s="57" t="s">
        <v>126</v>
      </c>
      <c r="C48" s="59">
        <v>4</v>
      </c>
      <c r="G48" t="str">
        <f t="shared" si="0"/>
        <v>2007</v>
      </c>
      <c r="H48" s="59">
        <v>3</v>
      </c>
      <c r="L48" t="s">
        <v>32</v>
      </c>
      <c r="M48">
        <v>3</v>
      </c>
    </row>
    <row r="49" spans="2:13" x14ac:dyDescent="0.2">
      <c r="B49" s="57" t="s">
        <v>127</v>
      </c>
      <c r="C49" s="59">
        <v>4</v>
      </c>
      <c r="G49" t="str">
        <f t="shared" si="0"/>
        <v>2007</v>
      </c>
      <c r="H49" s="59">
        <v>4</v>
      </c>
      <c r="L49" t="s">
        <v>32</v>
      </c>
      <c r="M49">
        <v>4</v>
      </c>
    </row>
    <row r="50" spans="2:13" x14ac:dyDescent="0.2">
      <c r="B50" s="57" t="s">
        <v>128</v>
      </c>
      <c r="C50" s="59">
        <v>4</v>
      </c>
      <c r="G50" t="str">
        <f t="shared" si="0"/>
        <v>2007</v>
      </c>
      <c r="H50" s="59">
        <v>7</v>
      </c>
      <c r="L50" t="s">
        <v>32</v>
      </c>
      <c r="M50">
        <v>7</v>
      </c>
    </row>
    <row r="51" spans="2:13" x14ac:dyDescent="0.2">
      <c r="B51" s="57" t="s">
        <v>129</v>
      </c>
      <c r="C51" s="59">
        <v>3</v>
      </c>
      <c r="G51" t="str">
        <f t="shared" si="0"/>
        <v>2007</v>
      </c>
      <c r="H51" s="59">
        <v>8</v>
      </c>
      <c r="L51" t="s">
        <v>32</v>
      </c>
      <c r="M51">
        <v>8</v>
      </c>
    </row>
    <row r="52" spans="2:13" x14ac:dyDescent="0.2">
      <c r="B52" s="57" t="s">
        <v>130</v>
      </c>
      <c r="C52" s="59">
        <v>4</v>
      </c>
      <c r="G52" t="str">
        <f t="shared" si="0"/>
        <v>2008</v>
      </c>
      <c r="H52" s="59">
        <v>7</v>
      </c>
      <c r="L52" t="s">
        <v>33</v>
      </c>
      <c r="M52">
        <v>7</v>
      </c>
    </row>
    <row r="53" spans="2:13" x14ac:dyDescent="0.2">
      <c r="B53" s="57" t="s">
        <v>131</v>
      </c>
      <c r="C53" s="59">
        <v>7</v>
      </c>
      <c r="G53" t="str">
        <f t="shared" si="0"/>
        <v>2008</v>
      </c>
      <c r="H53" s="59">
        <v>7</v>
      </c>
      <c r="L53" t="s">
        <v>33</v>
      </c>
      <c r="M53">
        <v>7</v>
      </c>
    </row>
    <row r="54" spans="2:13" x14ac:dyDescent="0.2">
      <c r="B54" s="57" t="s">
        <v>132</v>
      </c>
      <c r="C54" s="59">
        <v>8</v>
      </c>
      <c r="G54" t="str">
        <f t="shared" si="0"/>
        <v>2008</v>
      </c>
      <c r="H54" s="59">
        <v>6</v>
      </c>
      <c r="L54" t="s">
        <v>33</v>
      </c>
      <c r="M54">
        <v>6</v>
      </c>
    </row>
    <row r="55" spans="2:13" x14ac:dyDescent="0.2">
      <c r="B55" s="57" t="s">
        <v>133</v>
      </c>
      <c r="C55" s="59">
        <v>7</v>
      </c>
      <c r="G55" t="str">
        <f t="shared" si="0"/>
        <v>2008</v>
      </c>
      <c r="H55" s="59">
        <v>7</v>
      </c>
      <c r="L55" t="s">
        <v>33</v>
      </c>
      <c r="M55">
        <v>7</v>
      </c>
    </row>
    <row r="56" spans="2:13" x14ac:dyDescent="0.2">
      <c r="B56" s="57" t="s">
        <v>134</v>
      </c>
      <c r="C56" s="59">
        <v>7</v>
      </c>
      <c r="G56" t="str">
        <f t="shared" si="0"/>
        <v>2008</v>
      </c>
      <c r="H56" s="59">
        <v>8</v>
      </c>
      <c r="L56" t="s">
        <v>33</v>
      </c>
      <c r="M56">
        <v>8</v>
      </c>
    </row>
    <row r="57" spans="2:13" x14ac:dyDescent="0.2">
      <c r="B57" s="57" t="s">
        <v>135</v>
      </c>
      <c r="C57" s="59">
        <v>6</v>
      </c>
      <c r="G57" t="str">
        <f t="shared" si="0"/>
        <v>2008</v>
      </c>
      <c r="H57" s="59">
        <v>7</v>
      </c>
      <c r="L57" t="s">
        <v>33</v>
      </c>
      <c r="M57">
        <v>7</v>
      </c>
    </row>
    <row r="58" spans="2:13" x14ac:dyDescent="0.2">
      <c r="B58" s="57" t="s">
        <v>136</v>
      </c>
      <c r="C58" s="59">
        <v>7</v>
      </c>
      <c r="G58" t="str">
        <f t="shared" si="0"/>
        <v>2008</v>
      </c>
      <c r="H58" s="59">
        <v>6</v>
      </c>
      <c r="L58" t="s">
        <v>33</v>
      </c>
      <c r="M58">
        <v>6</v>
      </c>
    </row>
    <row r="59" spans="2:13" x14ac:dyDescent="0.2">
      <c r="B59" s="57" t="s">
        <v>137</v>
      </c>
      <c r="C59" s="59">
        <v>8</v>
      </c>
      <c r="G59" t="str">
        <f t="shared" si="0"/>
        <v>2008</v>
      </c>
      <c r="H59" s="59">
        <v>7</v>
      </c>
      <c r="L59" t="s">
        <v>33</v>
      </c>
      <c r="M59">
        <v>7</v>
      </c>
    </row>
    <row r="60" spans="2:13" x14ac:dyDescent="0.2">
      <c r="B60" s="57" t="s">
        <v>138</v>
      </c>
      <c r="C60" s="59">
        <v>7</v>
      </c>
      <c r="G60" t="str">
        <f t="shared" si="0"/>
        <v>2008</v>
      </c>
      <c r="H60" s="59">
        <v>12</v>
      </c>
      <c r="L60" t="s">
        <v>33</v>
      </c>
      <c r="M60">
        <v>12</v>
      </c>
    </row>
    <row r="61" spans="2:13" x14ac:dyDescent="0.2">
      <c r="B61" s="57" t="s">
        <v>139</v>
      </c>
      <c r="C61" s="59">
        <v>6</v>
      </c>
      <c r="G61" t="str">
        <f t="shared" si="0"/>
        <v>2008</v>
      </c>
      <c r="H61" s="59">
        <v>11</v>
      </c>
      <c r="L61" t="s">
        <v>33</v>
      </c>
      <c r="M61">
        <v>11</v>
      </c>
    </row>
    <row r="62" spans="2:13" x14ac:dyDescent="0.2">
      <c r="B62" s="57" t="s">
        <v>140</v>
      </c>
      <c r="C62" s="59">
        <v>7</v>
      </c>
      <c r="G62" t="str">
        <f t="shared" si="0"/>
        <v>2008</v>
      </c>
      <c r="H62" s="59">
        <v>25</v>
      </c>
      <c r="L62" t="s">
        <v>33</v>
      </c>
      <c r="M62">
        <v>25</v>
      </c>
    </row>
    <row r="63" spans="2:13" x14ac:dyDescent="0.2">
      <c r="B63" s="57" t="s">
        <v>141</v>
      </c>
      <c r="C63" s="59">
        <v>12</v>
      </c>
      <c r="G63" t="str">
        <f t="shared" si="0"/>
        <v>2008</v>
      </c>
      <c r="H63" s="59">
        <v>19</v>
      </c>
      <c r="L63" t="s">
        <v>33</v>
      </c>
      <c r="M63">
        <v>19</v>
      </c>
    </row>
    <row r="64" spans="2:13" x14ac:dyDescent="0.2">
      <c r="B64" s="57" t="s">
        <v>142</v>
      </c>
      <c r="C64" s="59">
        <v>11</v>
      </c>
      <c r="G64" t="str">
        <f t="shared" si="0"/>
        <v>2009</v>
      </c>
      <c r="H64" s="59">
        <v>17</v>
      </c>
      <c r="L64" t="s">
        <v>34</v>
      </c>
      <c r="M64">
        <v>17</v>
      </c>
    </row>
    <row r="65" spans="2:13" x14ac:dyDescent="0.2">
      <c r="B65" s="57" t="s">
        <v>143</v>
      </c>
      <c r="C65" s="59">
        <v>25</v>
      </c>
      <c r="G65" t="str">
        <f t="shared" si="0"/>
        <v>2009</v>
      </c>
      <c r="H65" s="59">
        <v>19</v>
      </c>
      <c r="L65" t="s">
        <v>34</v>
      </c>
      <c r="M65">
        <v>19</v>
      </c>
    </row>
    <row r="66" spans="2:13" x14ac:dyDescent="0.2">
      <c r="B66" s="57" t="s">
        <v>144</v>
      </c>
      <c r="C66" s="59">
        <v>19</v>
      </c>
      <c r="G66" t="str">
        <f t="shared" si="0"/>
        <v>2009</v>
      </c>
      <c r="H66" s="59">
        <v>16</v>
      </c>
      <c r="L66" t="s">
        <v>34</v>
      </c>
      <c r="M66">
        <v>16</v>
      </c>
    </row>
    <row r="67" spans="2:13" x14ac:dyDescent="0.2">
      <c r="B67" s="57" t="s">
        <v>145</v>
      </c>
      <c r="C67" s="59">
        <v>17</v>
      </c>
      <c r="G67" t="str">
        <f t="shared" si="0"/>
        <v>2009</v>
      </c>
      <c r="H67" s="59">
        <v>13</v>
      </c>
      <c r="L67" t="s">
        <v>34</v>
      </c>
      <c r="M67">
        <v>13</v>
      </c>
    </row>
    <row r="68" spans="2:13" x14ac:dyDescent="0.2">
      <c r="B68" s="57" t="s">
        <v>146</v>
      </c>
      <c r="C68" s="59">
        <v>19</v>
      </c>
      <c r="G68" t="str">
        <f t="shared" si="0"/>
        <v>2009</v>
      </c>
      <c r="H68" s="59">
        <v>16</v>
      </c>
      <c r="L68" t="s">
        <v>34</v>
      </c>
      <c r="M68">
        <v>16</v>
      </c>
    </row>
    <row r="69" spans="2:13" x14ac:dyDescent="0.2">
      <c r="B69" s="57" t="s">
        <v>147</v>
      </c>
      <c r="C69" s="59">
        <v>16</v>
      </c>
      <c r="G69" t="str">
        <f t="shared" ref="G69:G132" si="1">LEFT(B72,4)</f>
        <v>2009</v>
      </c>
      <c r="H69" s="59">
        <v>18</v>
      </c>
      <c r="L69" t="s">
        <v>34</v>
      </c>
      <c r="M69">
        <v>18</v>
      </c>
    </row>
    <row r="70" spans="2:13" x14ac:dyDescent="0.2">
      <c r="B70" s="57" t="s">
        <v>148</v>
      </c>
      <c r="C70" s="59">
        <v>13</v>
      </c>
      <c r="G70" t="str">
        <f t="shared" si="1"/>
        <v>2009</v>
      </c>
      <c r="H70" s="59">
        <v>15</v>
      </c>
      <c r="L70" t="s">
        <v>34</v>
      </c>
      <c r="M70">
        <v>15</v>
      </c>
    </row>
    <row r="71" spans="2:13" x14ac:dyDescent="0.2">
      <c r="B71" s="57" t="s">
        <v>149</v>
      </c>
      <c r="C71" s="59">
        <v>16</v>
      </c>
      <c r="G71" t="str">
        <f t="shared" si="1"/>
        <v>2009</v>
      </c>
      <c r="H71" s="59">
        <v>16</v>
      </c>
      <c r="L71" t="s">
        <v>34</v>
      </c>
      <c r="M71">
        <v>16</v>
      </c>
    </row>
    <row r="72" spans="2:13" x14ac:dyDescent="0.2">
      <c r="B72" s="57" t="s">
        <v>150</v>
      </c>
      <c r="C72" s="59">
        <v>18</v>
      </c>
      <c r="G72" t="str">
        <f t="shared" si="1"/>
        <v>2009</v>
      </c>
      <c r="H72" s="59">
        <v>51</v>
      </c>
      <c r="L72" t="s">
        <v>34</v>
      </c>
      <c r="M72">
        <v>51</v>
      </c>
    </row>
    <row r="73" spans="2:13" x14ac:dyDescent="0.2">
      <c r="B73" s="57" t="s">
        <v>151</v>
      </c>
      <c r="C73" s="59">
        <v>15</v>
      </c>
      <c r="G73" t="str">
        <f t="shared" si="1"/>
        <v>2009</v>
      </c>
      <c r="H73" s="59">
        <v>22</v>
      </c>
      <c r="L73" t="s">
        <v>34</v>
      </c>
      <c r="M73">
        <v>22</v>
      </c>
    </row>
    <row r="74" spans="2:13" x14ac:dyDescent="0.2">
      <c r="B74" s="57" t="s">
        <v>152</v>
      </c>
      <c r="C74" s="59">
        <v>16</v>
      </c>
      <c r="G74" t="str">
        <f t="shared" si="1"/>
        <v>2009</v>
      </c>
      <c r="H74" s="59">
        <v>36</v>
      </c>
      <c r="L74" t="s">
        <v>34</v>
      </c>
      <c r="M74">
        <v>36</v>
      </c>
    </row>
    <row r="75" spans="2:13" x14ac:dyDescent="0.2">
      <c r="B75" s="57" t="s">
        <v>153</v>
      </c>
      <c r="C75" s="59">
        <v>51</v>
      </c>
      <c r="G75" t="str">
        <f t="shared" si="1"/>
        <v>2009</v>
      </c>
      <c r="H75" s="59">
        <v>26</v>
      </c>
      <c r="L75" t="s">
        <v>34</v>
      </c>
      <c r="M75">
        <v>26</v>
      </c>
    </row>
    <row r="76" spans="2:13" x14ac:dyDescent="0.2">
      <c r="B76" s="57" t="s">
        <v>154</v>
      </c>
      <c r="C76" s="59">
        <v>22</v>
      </c>
      <c r="G76" t="str">
        <f t="shared" si="1"/>
        <v>2010</v>
      </c>
      <c r="H76" s="59">
        <v>20</v>
      </c>
      <c r="L76" t="s">
        <v>35</v>
      </c>
      <c r="M76">
        <v>20</v>
      </c>
    </row>
    <row r="77" spans="2:13" x14ac:dyDescent="0.2">
      <c r="B77" s="57" t="s">
        <v>155</v>
      </c>
      <c r="C77" s="59">
        <v>36</v>
      </c>
      <c r="G77" t="str">
        <f t="shared" si="1"/>
        <v>2010</v>
      </c>
      <c r="H77" s="59">
        <v>23</v>
      </c>
      <c r="L77" t="s">
        <v>35</v>
      </c>
      <c r="M77">
        <v>23</v>
      </c>
    </row>
    <row r="78" spans="2:13" x14ac:dyDescent="0.2">
      <c r="B78" s="57" t="s">
        <v>156</v>
      </c>
      <c r="C78" s="59">
        <v>26</v>
      </c>
      <c r="G78" t="str">
        <f t="shared" si="1"/>
        <v>2010</v>
      </c>
      <c r="H78" s="59">
        <v>14</v>
      </c>
      <c r="L78" t="s">
        <v>35</v>
      </c>
      <c r="M78">
        <v>14</v>
      </c>
    </row>
    <row r="79" spans="2:13" x14ac:dyDescent="0.2">
      <c r="B79" s="57" t="s">
        <v>157</v>
      </c>
      <c r="C79" s="59">
        <v>20</v>
      </c>
      <c r="G79" t="str">
        <f t="shared" si="1"/>
        <v>2010</v>
      </c>
      <c r="H79" s="59">
        <v>14</v>
      </c>
      <c r="L79" t="s">
        <v>35</v>
      </c>
      <c r="M79">
        <v>14</v>
      </c>
    </row>
    <row r="80" spans="2:13" x14ac:dyDescent="0.2">
      <c r="B80" s="57" t="s">
        <v>158</v>
      </c>
      <c r="C80" s="59">
        <v>23</v>
      </c>
      <c r="G80" t="str">
        <f t="shared" si="1"/>
        <v>2010</v>
      </c>
      <c r="H80" s="59">
        <v>13</v>
      </c>
      <c r="L80" t="s">
        <v>35</v>
      </c>
      <c r="M80">
        <v>13</v>
      </c>
    </row>
    <row r="81" spans="2:13" x14ac:dyDescent="0.2">
      <c r="B81" s="57" t="s">
        <v>159</v>
      </c>
      <c r="C81" s="59">
        <v>14</v>
      </c>
      <c r="G81" t="str">
        <f t="shared" si="1"/>
        <v>2010</v>
      </c>
      <c r="H81" s="59">
        <v>10</v>
      </c>
      <c r="L81" t="s">
        <v>35</v>
      </c>
      <c r="M81">
        <v>10</v>
      </c>
    </row>
    <row r="82" spans="2:13" x14ac:dyDescent="0.2">
      <c r="B82" s="57" t="s">
        <v>160</v>
      </c>
      <c r="C82" s="59">
        <v>14</v>
      </c>
      <c r="G82" t="str">
        <f t="shared" si="1"/>
        <v>2010</v>
      </c>
      <c r="H82" s="59">
        <v>9</v>
      </c>
      <c r="L82" t="s">
        <v>35</v>
      </c>
      <c r="M82">
        <v>9</v>
      </c>
    </row>
    <row r="83" spans="2:13" x14ac:dyDescent="0.2">
      <c r="B83" s="57" t="s">
        <v>161</v>
      </c>
      <c r="C83" s="59">
        <v>13</v>
      </c>
      <c r="G83" t="str">
        <f t="shared" si="1"/>
        <v>2010</v>
      </c>
      <c r="H83" s="59">
        <v>15</v>
      </c>
      <c r="L83" t="s">
        <v>35</v>
      </c>
      <c r="M83">
        <v>15</v>
      </c>
    </row>
    <row r="84" spans="2:13" x14ac:dyDescent="0.2">
      <c r="B84" s="57" t="s">
        <v>162</v>
      </c>
      <c r="C84" s="59">
        <v>10</v>
      </c>
      <c r="G84" t="str">
        <f t="shared" si="1"/>
        <v>2010</v>
      </c>
      <c r="H84" s="59">
        <v>17</v>
      </c>
      <c r="L84" t="s">
        <v>35</v>
      </c>
      <c r="M84">
        <v>17</v>
      </c>
    </row>
    <row r="85" spans="2:13" x14ac:dyDescent="0.2">
      <c r="B85" s="57" t="s">
        <v>163</v>
      </c>
      <c r="C85" s="59">
        <v>9</v>
      </c>
      <c r="G85" t="str">
        <f t="shared" si="1"/>
        <v>2010</v>
      </c>
      <c r="H85" s="59">
        <v>29</v>
      </c>
      <c r="L85" t="s">
        <v>35</v>
      </c>
      <c r="M85">
        <v>29</v>
      </c>
    </row>
    <row r="86" spans="2:13" x14ac:dyDescent="0.2">
      <c r="B86" s="57" t="s">
        <v>164</v>
      </c>
      <c r="C86" s="59">
        <v>15</v>
      </c>
      <c r="G86" t="str">
        <f t="shared" si="1"/>
        <v>2010</v>
      </c>
      <c r="H86" s="59">
        <v>31</v>
      </c>
      <c r="L86" t="s">
        <v>35</v>
      </c>
      <c r="M86">
        <v>31</v>
      </c>
    </row>
    <row r="87" spans="2:13" x14ac:dyDescent="0.2">
      <c r="B87" s="57" t="s">
        <v>165</v>
      </c>
      <c r="C87" s="59">
        <v>17</v>
      </c>
      <c r="G87" t="str">
        <f t="shared" si="1"/>
        <v>2010</v>
      </c>
      <c r="H87" s="59">
        <v>25</v>
      </c>
      <c r="L87" t="s">
        <v>35</v>
      </c>
      <c r="M87">
        <v>25</v>
      </c>
    </row>
    <row r="88" spans="2:13" x14ac:dyDescent="0.2">
      <c r="B88" s="57" t="s">
        <v>166</v>
      </c>
      <c r="C88" s="59">
        <v>29</v>
      </c>
      <c r="G88" t="str">
        <f t="shared" si="1"/>
        <v>2011</v>
      </c>
      <c r="H88" s="59">
        <v>22</v>
      </c>
      <c r="L88" t="s">
        <v>36</v>
      </c>
      <c r="M88">
        <v>22</v>
      </c>
    </row>
    <row r="89" spans="2:13" x14ac:dyDescent="0.2">
      <c r="B89" s="57" t="s">
        <v>167</v>
      </c>
      <c r="C89" s="59">
        <v>31</v>
      </c>
      <c r="G89" t="str">
        <f t="shared" si="1"/>
        <v>2011</v>
      </c>
      <c r="H89" s="59">
        <v>19</v>
      </c>
      <c r="L89" t="s">
        <v>36</v>
      </c>
      <c r="M89">
        <v>19</v>
      </c>
    </row>
    <row r="90" spans="2:13" x14ac:dyDescent="0.2">
      <c r="B90" s="57" t="s">
        <v>168</v>
      </c>
      <c r="C90" s="59">
        <v>25</v>
      </c>
      <c r="G90" t="str">
        <f t="shared" si="1"/>
        <v>2011</v>
      </c>
      <c r="H90" s="59">
        <v>13</v>
      </c>
      <c r="L90" t="s">
        <v>36</v>
      </c>
      <c r="M90">
        <v>13</v>
      </c>
    </row>
    <row r="91" spans="2:13" x14ac:dyDescent="0.2">
      <c r="B91" s="57" t="s">
        <v>169</v>
      </c>
      <c r="C91" s="59">
        <v>22</v>
      </c>
      <c r="G91" t="str">
        <f t="shared" si="1"/>
        <v>2011</v>
      </c>
      <c r="H91" s="59">
        <v>14</v>
      </c>
      <c r="L91" t="s">
        <v>36</v>
      </c>
      <c r="M91">
        <v>14</v>
      </c>
    </row>
    <row r="92" spans="2:13" x14ac:dyDescent="0.2">
      <c r="B92" s="57" t="s">
        <v>170</v>
      </c>
      <c r="C92" s="59">
        <v>19</v>
      </c>
      <c r="G92" t="str">
        <f t="shared" si="1"/>
        <v>2011</v>
      </c>
      <c r="H92" s="59">
        <v>14</v>
      </c>
      <c r="L92" t="s">
        <v>36</v>
      </c>
      <c r="M92">
        <v>14</v>
      </c>
    </row>
    <row r="93" spans="2:13" x14ac:dyDescent="0.2">
      <c r="B93" s="57" t="s">
        <v>171</v>
      </c>
      <c r="C93" s="59">
        <v>13</v>
      </c>
      <c r="G93" t="str">
        <f t="shared" si="1"/>
        <v>2011</v>
      </c>
      <c r="H93" s="59">
        <v>15</v>
      </c>
      <c r="L93" t="s">
        <v>36</v>
      </c>
      <c r="M93">
        <v>15</v>
      </c>
    </row>
    <row r="94" spans="2:13" x14ac:dyDescent="0.2">
      <c r="B94" s="57" t="s">
        <v>172</v>
      </c>
      <c r="C94" s="59">
        <v>14</v>
      </c>
      <c r="G94" t="str">
        <f t="shared" si="1"/>
        <v>2011</v>
      </c>
      <c r="H94" s="59">
        <v>14</v>
      </c>
      <c r="L94" t="s">
        <v>36</v>
      </c>
      <c r="M94">
        <v>14</v>
      </c>
    </row>
    <row r="95" spans="2:13" x14ac:dyDescent="0.2">
      <c r="B95" s="57" t="s">
        <v>173</v>
      </c>
      <c r="C95" s="59">
        <v>14</v>
      </c>
      <c r="G95" t="str">
        <f t="shared" si="1"/>
        <v>2011</v>
      </c>
      <c r="H95" s="59">
        <v>17</v>
      </c>
      <c r="L95" t="s">
        <v>36</v>
      </c>
      <c r="M95">
        <v>17</v>
      </c>
    </row>
    <row r="96" spans="2:13" x14ac:dyDescent="0.2">
      <c r="B96" s="57" t="s">
        <v>174</v>
      </c>
      <c r="C96" s="59">
        <v>15</v>
      </c>
      <c r="G96" t="str">
        <f t="shared" si="1"/>
        <v>2011</v>
      </c>
      <c r="H96" s="59">
        <v>13</v>
      </c>
      <c r="L96" t="s">
        <v>36</v>
      </c>
      <c r="M96">
        <v>13</v>
      </c>
    </row>
    <row r="97" spans="2:13" x14ac:dyDescent="0.2">
      <c r="B97" s="57" t="s">
        <v>175</v>
      </c>
      <c r="C97" s="59">
        <v>14</v>
      </c>
      <c r="G97" t="str">
        <f t="shared" si="1"/>
        <v>2011</v>
      </c>
      <c r="H97" s="59">
        <v>15</v>
      </c>
      <c r="L97" t="s">
        <v>36</v>
      </c>
      <c r="M97">
        <v>15</v>
      </c>
    </row>
    <row r="98" spans="2:13" x14ac:dyDescent="0.2">
      <c r="B98" s="57" t="s">
        <v>176</v>
      </c>
      <c r="C98" s="59">
        <v>17</v>
      </c>
      <c r="G98" t="str">
        <f t="shared" si="1"/>
        <v>2011</v>
      </c>
      <c r="H98" s="59">
        <v>21</v>
      </c>
      <c r="L98" t="s">
        <v>36</v>
      </c>
      <c r="M98">
        <v>21</v>
      </c>
    </row>
    <row r="99" spans="2:13" x14ac:dyDescent="0.2">
      <c r="B99" s="57" t="s">
        <v>177</v>
      </c>
      <c r="C99" s="59">
        <v>13</v>
      </c>
      <c r="G99" t="str">
        <f t="shared" si="1"/>
        <v>2011</v>
      </c>
      <c r="H99" s="59">
        <v>17</v>
      </c>
      <c r="L99" t="s">
        <v>36</v>
      </c>
      <c r="M99">
        <v>17</v>
      </c>
    </row>
    <row r="100" spans="2:13" x14ac:dyDescent="0.2">
      <c r="B100" s="57" t="s">
        <v>178</v>
      </c>
      <c r="C100" s="59">
        <v>15</v>
      </c>
      <c r="G100" t="str">
        <f t="shared" si="1"/>
        <v>2012</v>
      </c>
      <c r="H100" s="59">
        <v>14</v>
      </c>
      <c r="L100" t="s">
        <v>37</v>
      </c>
      <c r="M100">
        <v>14</v>
      </c>
    </row>
    <row r="101" spans="2:13" x14ac:dyDescent="0.2">
      <c r="B101" s="57" t="s">
        <v>179</v>
      </c>
      <c r="C101" s="59">
        <v>21</v>
      </c>
      <c r="G101" t="str">
        <f t="shared" si="1"/>
        <v>2012</v>
      </c>
      <c r="H101" s="59">
        <v>18</v>
      </c>
      <c r="L101" t="s">
        <v>37</v>
      </c>
      <c r="M101">
        <v>18</v>
      </c>
    </row>
    <row r="102" spans="2:13" x14ac:dyDescent="0.2">
      <c r="B102" s="57" t="s">
        <v>180</v>
      </c>
      <c r="C102" s="59">
        <v>17</v>
      </c>
      <c r="G102" t="str">
        <f t="shared" si="1"/>
        <v>2012</v>
      </c>
      <c r="H102" s="59">
        <v>15</v>
      </c>
      <c r="L102" t="s">
        <v>37</v>
      </c>
      <c r="M102">
        <v>15</v>
      </c>
    </row>
    <row r="103" spans="2:13" x14ac:dyDescent="0.2">
      <c r="B103" s="57" t="s">
        <v>181</v>
      </c>
      <c r="C103" s="59">
        <v>14</v>
      </c>
      <c r="G103" t="str">
        <f t="shared" si="1"/>
        <v>2012</v>
      </c>
      <c r="H103" s="59">
        <v>15</v>
      </c>
      <c r="L103" t="s">
        <v>37</v>
      </c>
      <c r="M103">
        <v>15</v>
      </c>
    </row>
    <row r="104" spans="2:13" x14ac:dyDescent="0.2">
      <c r="B104" s="57" t="s">
        <v>182</v>
      </c>
      <c r="C104" s="59">
        <v>18</v>
      </c>
      <c r="G104" t="str">
        <f t="shared" si="1"/>
        <v>2012</v>
      </c>
      <c r="H104" s="59">
        <v>11</v>
      </c>
      <c r="L104" t="s">
        <v>37</v>
      </c>
      <c r="M104">
        <v>11</v>
      </c>
    </row>
    <row r="105" spans="2:13" x14ac:dyDescent="0.2">
      <c r="B105" s="57" t="s">
        <v>183</v>
      </c>
      <c r="C105" s="59">
        <v>15</v>
      </c>
      <c r="G105" t="str">
        <f t="shared" si="1"/>
        <v>2012</v>
      </c>
      <c r="H105" s="59">
        <v>11</v>
      </c>
      <c r="L105" t="s">
        <v>37</v>
      </c>
      <c r="M105">
        <v>11</v>
      </c>
    </row>
    <row r="106" spans="2:13" x14ac:dyDescent="0.2">
      <c r="B106" s="57" t="s">
        <v>184</v>
      </c>
      <c r="C106" s="59">
        <v>15</v>
      </c>
      <c r="G106" t="str">
        <f t="shared" si="1"/>
        <v>2012</v>
      </c>
      <c r="H106" s="59">
        <v>10</v>
      </c>
      <c r="L106" t="s">
        <v>37</v>
      </c>
      <c r="M106">
        <v>10</v>
      </c>
    </row>
    <row r="107" spans="2:13" x14ac:dyDescent="0.2">
      <c r="B107" s="57" t="s">
        <v>185</v>
      </c>
      <c r="C107" s="59">
        <v>11</v>
      </c>
      <c r="G107" t="str">
        <f t="shared" si="1"/>
        <v>2012</v>
      </c>
      <c r="H107" s="59">
        <v>19</v>
      </c>
      <c r="L107" t="s">
        <v>37</v>
      </c>
      <c r="M107">
        <v>19</v>
      </c>
    </row>
    <row r="108" spans="2:13" x14ac:dyDescent="0.2">
      <c r="B108" s="57" t="s">
        <v>186</v>
      </c>
      <c r="C108" s="59">
        <v>11</v>
      </c>
      <c r="G108" t="str">
        <f t="shared" si="1"/>
        <v>2012</v>
      </c>
      <c r="H108" s="59">
        <v>21</v>
      </c>
      <c r="L108" t="s">
        <v>37</v>
      </c>
      <c r="M108">
        <v>21</v>
      </c>
    </row>
    <row r="109" spans="2:13" x14ac:dyDescent="0.2">
      <c r="B109" s="57" t="s">
        <v>187</v>
      </c>
      <c r="C109" s="59">
        <v>10</v>
      </c>
      <c r="G109" t="str">
        <f t="shared" si="1"/>
        <v>2012</v>
      </c>
      <c r="H109" s="59">
        <v>35</v>
      </c>
      <c r="L109" t="s">
        <v>37</v>
      </c>
      <c r="M109">
        <v>35</v>
      </c>
    </row>
    <row r="110" spans="2:13" x14ac:dyDescent="0.2">
      <c r="B110" s="57" t="s">
        <v>188</v>
      </c>
      <c r="C110" s="59">
        <v>19</v>
      </c>
      <c r="G110" t="str">
        <f t="shared" si="1"/>
        <v>2012</v>
      </c>
      <c r="H110" s="59">
        <v>32</v>
      </c>
      <c r="L110" t="s">
        <v>37</v>
      </c>
      <c r="M110">
        <v>32</v>
      </c>
    </row>
    <row r="111" spans="2:13" x14ac:dyDescent="0.2">
      <c r="B111" s="57" t="s">
        <v>189</v>
      </c>
      <c r="C111" s="59">
        <v>21</v>
      </c>
      <c r="G111" t="str">
        <f t="shared" si="1"/>
        <v>2012</v>
      </c>
      <c r="H111" s="59">
        <v>34</v>
      </c>
      <c r="L111" t="s">
        <v>37</v>
      </c>
      <c r="M111">
        <v>34</v>
      </c>
    </row>
    <row r="112" spans="2:13" x14ac:dyDescent="0.2">
      <c r="B112" s="57" t="s">
        <v>190</v>
      </c>
      <c r="C112" s="59">
        <v>35</v>
      </c>
      <c r="G112" t="str">
        <f t="shared" si="1"/>
        <v>2013</v>
      </c>
      <c r="H112" s="59">
        <v>32</v>
      </c>
      <c r="L112" t="s">
        <v>38</v>
      </c>
      <c r="M112">
        <v>32</v>
      </c>
    </row>
    <row r="113" spans="2:13" x14ac:dyDescent="0.2">
      <c r="B113" s="57" t="s">
        <v>191</v>
      </c>
      <c r="C113" s="59">
        <v>32</v>
      </c>
      <c r="G113" t="str">
        <f t="shared" si="1"/>
        <v>2013</v>
      </c>
      <c r="H113" s="59">
        <v>25</v>
      </c>
      <c r="L113" t="s">
        <v>38</v>
      </c>
      <c r="M113">
        <v>25</v>
      </c>
    </row>
    <row r="114" spans="2:13" x14ac:dyDescent="0.2">
      <c r="B114" s="57" t="s">
        <v>192</v>
      </c>
      <c r="C114" s="59">
        <v>34</v>
      </c>
      <c r="G114" t="str">
        <f t="shared" si="1"/>
        <v>2013</v>
      </c>
      <c r="H114" s="59">
        <v>22</v>
      </c>
      <c r="L114" t="s">
        <v>38</v>
      </c>
      <c r="M114">
        <v>22</v>
      </c>
    </row>
    <row r="115" spans="2:13" x14ac:dyDescent="0.2">
      <c r="B115" s="57" t="s">
        <v>193</v>
      </c>
      <c r="C115" s="59">
        <v>32</v>
      </c>
      <c r="G115" t="str">
        <f t="shared" si="1"/>
        <v>2013</v>
      </c>
      <c r="H115" s="59">
        <v>18</v>
      </c>
      <c r="L115" t="s">
        <v>38</v>
      </c>
      <c r="M115">
        <v>18</v>
      </c>
    </row>
    <row r="116" spans="2:13" x14ac:dyDescent="0.2">
      <c r="B116" s="57" t="s">
        <v>194</v>
      </c>
      <c r="C116" s="59">
        <v>25</v>
      </c>
      <c r="G116" t="str">
        <f t="shared" si="1"/>
        <v>2013</v>
      </c>
      <c r="H116" s="59">
        <v>19</v>
      </c>
      <c r="L116" t="s">
        <v>38</v>
      </c>
      <c r="M116">
        <v>19</v>
      </c>
    </row>
    <row r="117" spans="2:13" x14ac:dyDescent="0.2">
      <c r="B117" s="57" t="s">
        <v>195</v>
      </c>
      <c r="C117" s="59">
        <v>22</v>
      </c>
      <c r="G117" t="str">
        <f t="shared" si="1"/>
        <v>2013</v>
      </c>
      <c r="H117" s="59">
        <v>17</v>
      </c>
      <c r="L117" t="s">
        <v>38</v>
      </c>
      <c r="M117">
        <v>17</v>
      </c>
    </row>
    <row r="118" spans="2:13" x14ac:dyDescent="0.2">
      <c r="B118" s="57" t="s">
        <v>196</v>
      </c>
      <c r="C118" s="59">
        <v>18</v>
      </c>
      <c r="G118" t="str">
        <f t="shared" si="1"/>
        <v>2013</v>
      </c>
      <c r="H118" s="59">
        <v>17</v>
      </c>
      <c r="L118" t="s">
        <v>38</v>
      </c>
      <c r="M118">
        <v>17</v>
      </c>
    </row>
    <row r="119" spans="2:13" x14ac:dyDescent="0.2">
      <c r="B119" s="57" t="s">
        <v>197</v>
      </c>
      <c r="C119" s="59">
        <v>19</v>
      </c>
      <c r="G119" t="str">
        <f t="shared" si="1"/>
        <v>2013</v>
      </c>
      <c r="H119" s="59">
        <v>20</v>
      </c>
      <c r="L119" t="s">
        <v>38</v>
      </c>
      <c r="M119">
        <v>20</v>
      </c>
    </row>
    <row r="120" spans="2:13" x14ac:dyDescent="0.2">
      <c r="B120" s="57" t="s">
        <v>198</v>
      </c>
      <c r="C120" s="59">
        <v>17</v>
      </c>
      <c r="G120" t="str">
        <f t="shared" si="1"/>
        <v>2013</v>
      </c>
      <c r="H120" s="59">
        <v>13</v>
      </c>
      <c r="L120" t="s">
        <v>38</v>
      </c>
      <c r="M120">
        <v>13</v>
      </c>
    </row>
    <row r="121" spans="2:13" x14ac:dyDescent="0.2">
      <c r="B121" s="57" t="s">
        <v>199</v>
      </c>
      <c r="C121" s="59">
        <v>17</v>
      </c>
      <c r="G121" t="str">
        <f t="shared" si="1"/>
        <v>2013</v>
      </c>
      <c r="H121" s="59">
        <v>10</v>
      </c>
      <c r="L121" t="s">
        <v>38</v>
      </c>
      <c r="M121">
        <v>10</v>
      </c>
    </row>
    <row r="122" spans="2:13" x14ac:dyDescent="0.2">
      <c r="B122" s="57" t="s">
        <v>200</v>
      </c>
      <c r="C122" s="59">
        <v>20</v>
      </c>
      <c r="G122" t="str">
        <f t="shared" si="1"/>
        <v>2013</v>
      </c>
      <c r="H122" s="59">
        <v>14</v>
      </c>
      <c r="L122" t="s">
        <v>38</v>
      </c>
      <c r="M122">
        <v>14</v>
      </c>
    </row>
    <row r="123" spans="2:13" x14ac:dyDescent="0.2">
      <c r="B123" s="57" t="s">
        <v>201</v>
      </c>
      <c r="C123" s="59">
        <v>13</v>
      </c>
      <c r="G123" t="str">
        <f t="shared" si="1"/>
        <v>2013</v>
      </c>
      <c r="H123" s="59">
        <v>13</v>
      </c>
      <c r="L123" t="s">
        <v>38</v>
      </c>
      <c r="M123">
        <v>13</v>
      </c>
    </row>
    <row r="124" spans="2:13" x14ac:dyDescent="0.2">
      <c r="B124" s="57" t="s">
        <v>202</v>
      </c>
      <c r="C124" s="59">
        <v>10</v>
      </c>
      <c r="G124" t="str">
        <f t="shared" si="1"/>
        <v>2014</v>
      </c>
      <c r="H124" s="59">
        <v>15</v>
      </c>
      <c r="L124" t="s">
        <v>39</v>
      </c>
      <c r="M124">
        <v>15</v>
      </c>
    </row>
    <row r="125" spans="2:13" x14ac:dyDescent="0.2">
      <c r="B125" s="57" t="s">
        <v>203</v>
      </c>
      <c r="C125" s="59">
        <v>14</v>
      </c>
      <c r="G125" t="str">
        <f t="shared" si="1"/>
        <v>2014</v>
      </c>
      <c r="H125" s="59">
        <v>11</v>
      </c>
      <c r="L125" t="s">
        <v>39</v>
      </c>
      <c r="M125">
        <v>11</v>
      </c>
    </row>
    <row r="126" spans="2:13" x14ac:dyDescent="0.2">
      <c r="B126" s="57" t="s">
        <v>204</v>
      </c>
      <c r="C126" s="59">
        <v>13</v>
      </c>
      <c r="G126" t="str">
        <f t="shared" si="1"/>
        <v>2014</v>
      </c>
      <c r="H126" s="59">
        <v>8</v>
      </c>
      <c r="L126" t="s">
        <v>39</v>
      </c>
      <c r="M126">
        <v>8</v>
      </c>
    </row>
    <row r="127" spans="2:13" x14ac:dyDescent="0.2">
      <c r="B127" s="57" t="s">
        <v>205</v>
      </c>
      <c r="C127" s="59">
        <v>15</v>
      </c>
      <c r="G127" t="str">
        <f t="shared" si="1"/>
        <v>2014</v>
      </c>
      <c r="H127" s="59">
        <v>9</v>
      </c>
      <c r="L127" t="s">
        <v>39</v>
      </c>
      <c r="M127">
        <v>9</v>
      </c>
    </row>
    <row r="128" spans="2:13" x14ac:dyDescent="0.2">
      <c r="B128" s="57" t="s">
        <v>206</v>
      </c>
      <c r="C128" s="59">
        <v>11</v>
      </c>
      <c r="G128" t="str">
        <f t="shared" si="1"/>
        <v>2014</v>
      </c>
      <c r="H128" s="59">
        <v>8</v>
      </c>
      <c r="L128" t="s">
        <v>39</v>
      </c>
      <c r="M128">
        <v>8</v>
      </c>
    </row>
    <row r="129" spans="2:13" x14ac:dyDescent="0.2">
      <c r="B129" s="57" t="s">
        <v>207</v>
      </c>
      <c r="C129" s="59">
        <v>8</v>
      </c>
      <c r="G129" t="str">
        <f t="shared" si="1"/>
        <v>2014</v>
      </c>
      <c r="H129" s="59">
        <v>8</v>
      </c>
      <c r="L129" t="s">
        <v>39</v>
      </c>
      <c r="M129">
        <v>8</v>
      </c>
    </row>
    <row r="130" spans="2:13" x14ac:dyDescent="0.2">
      <c r="B130" s="57" t="s">
        <v>208</v>
      </c>
      <c r="C130" s="59">
        <v>9</v>
      </c>
      <c r="G130" t="str">
        <f t="shared" si="1"/>
        <v>2014</v>
      </c>
      <c r="H130" s="59">
        <v>7</v>
      </c>
      <c r="L130" t="s">
        <v>39</v>
      </c>
      <c r="M130">
        <v>7</v>
      </c>
    </row>
    <row r="131" spans="2:13" x14ac:dyDescent="0.2">
      <c r="B131" s="57" t="s">
        <v>209</v>
      </c>
      <c r="C131" s="59">
        <v>8</v>
      </c>
      <c r="G131" t="str">
        <f t="shared" si="1"/>
        <v>2014</v>
      </c>
      <c r="H131" s="59">
        <v>21</v>
      </c>
      <c r="L131" t="s">
        <v>39</v>
      </c>
      <c r="M131">
        <v>21</v>
      </c>
    </row>
    <row r="132" spans="2:13" x14ac:dyDescent="0.2">
      <c r="B132" s="57" t="s">
        <v>210</v>
      </c>
      <c r="C132" s="59">
        <v>8</v>
      </c>
      <c r="G132" t="str">
        <f t="shared" si="1"/>
        <v>2014</v>
      </c>
      <c r="H132" s="59">
        <v>15</v>
      </c>
      <c r="L132" t="s">
        <v>39</v>
      </c>
      <c r="M132">
        <v>15</v>
      </c>
    </row>
    <row r="133" spans="2:13" x14ac:dyDescent="0.2">
      <c r="B133" s="57" t="s">
        <v>211</v>
      </c>
      <c r="C133" s="59">
        <v>7</v>
      </c>
      <c r="G133" t="str">
        <f t="shared" ref="G133:G196" si="2">LEFT(B136,4)</f>
        <v>2014</v>
      </c>
      <c r="H133" s="59">
        <v>24</v>
      </c>
      <c r="L133" t="s">
        <v>39</v>
      </c>
      <c r="M133">
        <v>24</v>
      </c>
    </row>
    <row r="134" spans="2:13" x14ac:dyDescent="0.2">
      <c r="B134" s="57" t="s">
        <v>212</v>
      </c>
      <c r="C134" s="59">
        <v>21</v>
      </c>
      <c r="G134" t="str">
        <f t="shared" si="2"/>
        <v>2014</v>
      </c>
      <c r="H134" s="59">
        <v>44</v>
      </c>
      <c r="L134" t="s">
        <v>39</v>
      </c>
      <c r="M134">
        <v>44</v>
      </c>
    </row>
    <row r="135" spans="2:13" x14ac:dyDescent="0.2">
      <c r="B135" s="57" t="s">
        <v>213</v>
      </c>
      <c r="C135" s="59">
        <v>15</v>
      </c>
      <c r="G135" t="str">
        <f t="shared" si="2"/>
        <v>2014</v>
      </c>
      <c r="H135" s="59">
        <v>33</v>
      </c>
      <c r="L135" t="s">
        <v>39</v>
      </c>
      <c r="M135">
        <v>33</v>
      </c>
    </row>
    <row r="136" spans="2:13" x14ac:dyDescent="0.2">
      <c r="B136" s="57" t="s">
        <v>214</v>
      </c>
      <c r="C136" s="59">
        <v>24</v>
      </c>
      <c r="G136" t="str">
        <f t="shared" si="2"/>
        <v>2015</v>
      </c>
      <c r="H136" s="59">
        <v>30</v>
      </c>
      <c r="L136" t="s">
        <v>40</v>
      </c>
      <c r="M136">
        <v>30</v>
      </c>
    </row>
    <row r="137" spans="2:13" x14ac:dyDescent="0.2">
      <c r="B137" s="57" t="s">
        <v>215</v>
      </c>
      <c r="C137" s="59">
        <v>44</v>
      </c>
      <c r="G137" t="str">
        <f t="shared" si="2"/>
        <v>2015</v>
      </c>
      <c r="H137" s="59">
        <v>28</v>
      </c>
      <c r="L137" t="s">
        <v>40</v>
      </c>
      <c r="M137">
        <v>28</v>
      </c>
    </row>
    <row r="138" spans="2:13" x14ac:dyDescent="0.2">
      <c r="B138" s="57" t="s">
        <v>216</v>
      </c>
      <c r="C138" s="59">
        <v>33</v>
      </c>
      <c r="G138" t="str">
        <f t="shared" si="2"/>
        <v>2015</v>
      </c>
      <c r="H138" s="59">
        <v>20</v>
      </c>
      <c r="L138" t="s">
        <v>40</v>
      </c>
      <c r="M138">
        <v>20</v>
      </c>
    </row>
    <row r="139" spans="2:13" x14ac:dyDescent="0.2">
      <c r="B139" s="57" t="s">
        <v>217</v>
      </c>
      <c r="C139" s="59">
        <v>30</v>
      </c>
      <c r="G139" t="str">
        <f t="shared" si="2"/>
        <v>2015</v>
      </c>
      <c r="H139" s="59">
        <v>20</v>
      </c>
      <c r="L139" t="s">
        <v>40</v>
      </c>
      <c r="M139">
        <v>20</v>
      </c>
    </row>
    <row r="140" spans="2:13" x14ac:dyDescent="0.2">
      <c r="B140" s="57" t="s">
        <v>218</v>
      </c>
      <c r="C140" s="59">
        <v>28</v>
      </c>
      <c r="G140" t="str">
        <f t="shared" si="2"/>
        <v>2015</v>
      </c>
      <c r="H140" s="59">
        <v>27</v>
      </c>
      <c r="L140" t="s">
        <v>40</v>
      </c>
      <c r="M140">
        <v>27</v>
      </c>
    </row>
    <row r="141" spans="2:13" x14ac:dyDescent="0.2">
      <c r="B141" s="57" t="s">
        <v>219</v>
      </c>
      <c r="C141" s="59">
        <v>20</v>
      </c>
      <c r="G141" t="str">
        <f t="shared" si="2"/>
        <v>2015</v>
      </c>
      <c r="H141" s="59">
        <v>23</v>
      </c>
      <c r="L141" t="s">
        <v>40</v>
      </c>
      <c r="M141">
        <v>23</v>
      </c>
    </row>
    <row r="142" spans="2:13" x14ac:dyDescent="0.2">
      <c r="B142" s="57" t="s">
        <v>220</v>
      </c>
      <c r="C142" s="59">
        <v>20</v>
      </c>
      <c r="G142" t="str">
        <f t="shared" si="2"/>
        <v>2015</v>
      </c>
      <c r="H142" s="59">
        <v>27</v>
      </c>
      <c r="L142" t="s">
        <v>40</v>
      </c>
      <c r="M142">
        <v>27</v>
      </c>
    </row>
    <row r="143" spans="2:13" x14ac:dyDescent="0.2">
      <c r="B143" s="57" t="s">
        <v>221</v>
      </c>
      <c r="C143" s="59">
        <v>27</v>
      </c>
      <c r="G143" t="str">
        <f t="shared" si="2"/>
        <v>2015</v>
      </c>
      <c r="H143" s="59">
        <v>25</v>
      </c>
      <c r="L143" t="s">
        <v>40</v>
      </c>
      <c r="M143">
        <v>25</v>
      </c>
    </row>
    <row r="144" spans="2:13" x14ac:dyDescent="0.2">
      <c r="B144" s="57" t="s">
        <v>222</v>
      </c>
      <c r="C144" s="59">
        <v>23</v>
      </c>
      <c r="G144" t="str">
        <f t="shared" si="2"/>
        <v>2015</v>
      </c>
      <c r="H144" s="59">
        <v>23</v>
      </c>
      <c r="L144" t="s">
        <v>40</v>
      </c>
      <c r="M144">
        <v>23</v>
      </c>
    </row>
    <row r="145" spans="2:13" x14ac:dyDescent="0.2">
      <c r="B145" s="57" t="s">
        <v>223</v>
      </c>
      <c r="C145" s="59">
        <v>27</v>
      </c>
      <c r="G145" t="str">
        <f t="shared" si="2"/>
        <v>2015</v>
      </c>
      <c r="H145" s="59">
        <v>20</v>
      </c>
      <c r="L145" t="s">
        <v>40</v>
      </c>
      <c r="M145">
        <v>20</v>
      </c>
    </row>
    <row r="146" spans="2:13" x14ac:dyDescent="0.2">
      <c r="B146" s="57" t="s">
        <v>224</v>
      </c>
      <c r="C146" s="59">
        <v>25</v>
      </c>
      <c r="G146" t="str">
        <f t="shared" si="2"/>
        <v>2015</v>
      </c>
      <c r="H146" s="59">
        <v>16</v>
      </c>
      <c r="L146" t="s">
        <v>40</v>
      </c>
      <c r="M146">
        <v>16</v>
      </c>
    </row>
    <row r="147" spans="2:13" x14ac:dyDescent="0.2">
      <c r="B147" s="57" t="s">
        <v>225</v>
      </c>
      <c r="C147" s="59">
        <v>23</v>
      </c>
      <c r="G147" t="str">
        <f t="shared" si="2"/>
        <v>2015</v>
      </c>
      <c r="H147" s="59">
        <v>16</v>
      </c>
      <c r="L147" t="s">
        <v>40</v>
      </c>
      <c r="M147">
        <v>16</v>
      </c>
    </row>
    <row r="148" spans="2:13" x14ac:dyDescent="0.2">
      <c r="B148" s="57" t="s">
        <v>226</v>
      </c>
      <c r="C148" s="59">
        <v>20</v>
      </c>
      <c r="G148" t="str">
        <f t="shared" si="2"/>
        <v>2016</v>
      </c>
      <c r="H148" s="59">
        <v>14</v>
      </c>
      <c r="L148" t="s">
        <v>41</v>
      </c>
      <c r="M148">
        <v>14</v>
      </c>
    </row>
    <row r="149" spans="2:13" x14ac:dyDescent="0.2">
      <c r="B149" s="57" t="s">
        <v>227</v>
      </c>
      <c r="C149" s="59">
        <v>16</v>
      </c>
      <c r="G149" t="str">
        <f t="shared" si="2"/>
        <v>2016</v>
      </c>
      <c r="H149" s="59">
        <v>22</v>
      </c>
      <c r="L149" t="s">
        <v>41</v>
      </c>
      <c r="M149">
        <v>22</v>
      </c>
    </row>
    <row r="150" spans="2:13" x14ac:dyDescent="0.2">
      <c r="B150" s="57" t="s">
        <v>228</v>
      </c>
      <c r="C150" s="59">
        <v>16</v>
      </c>
      <c r="G150" t="str">
        <f t="shared" si="2"/>
        <v>2016</v>
      </c>
      <c r="H150" s="59">
        <v>13</v>
      </c>
      <c r="L150" t="s">
        <v>41</v>
      </c>
      <c r="M150">
        <v>13</v>
      </c>
    </row>
    <row r="151" spans="2:13" x14ac:dyDescent="0.2">
      <c r="B151" s="57" t="s">
        <v>229</v>
      </c>
      <c r="C151" s="59">
        <v>14</v>
      </c>
      <c r="G151" t="str">
        <f t="shared" si="2"/>
        <v>2016</v>
      </c>
      <c r="H151" s="59">
        <v>15</v>
      </c>
      <c r="L151" t="s">
        <v>41</v>
      </c>
      <c r="M151">
        <v>15</v>
      </c>
    </row>
    <row r="152" spans="2:13" x14ac:dyDescent="0.2">
      <c r="B152" s="57" t="s">
        <v>230</v>
      </c>
      <c r="C152" s="59">
        <v>22</v>
      </c>
      <c r="G152" t="str">
        <f t="shared" si="2"/>
        <v>2016</v>
      </c>
      <c r="H152" s="59">
        <v>12</v>
      </c>
      <c r="L152" t="s">
        <v>41</v>
      </c>
      <c r="M152">
        <v>12</v>
      </c>
    </row>
    <row r="153" spans="2:13" x14ac:dyDescent="0.2">
      <c r="B153" s="57" t="s">
        <v>231</v>
      </c>
      <c r="C153" s="59">
        <v>13</v>
      </c>
      <c r="G153" t="str">
        <f t="shared" si="2"/>
        <v>2016</v>
      </c>
      <c r="H153" s="59">
        <v>21</v>
      </c>
      <c r="L153" t="s">
        <v>41</v>
      </c>
      <c r="M153">
        <v>21</v>
      </c>
    </row>
    <row r="154" spans="2:13" x14ac:dyDescent="0.2">
      <c r="B154" s="57" t="s">
        <v>232</v>
      </c>
      <c r="C154" s="59">
        <v>15</v>
      </c>
      <c r="G154" t="str">
        <f t="shared" si="2"/>
        <v>2016</v>
      </c>
      <c r="H154" s="59">
        <v>29</v>
      </c>
      <c r="L154" t="s">
        <v>41</v>
      </c>
      <c r="M154">
        <v>29</v>
      </c>
    </row>
    <row r="155" spans="2:13" x14ac:dyDescent="0.2">
      <c r="B155" s="57" t="s">
        <v>233</v>
      </c>
      <c r="C155" s="59">
        <v>12</v>
      </c>
      <c r="G155" t="str">
        <f t="shared" si="2"/>
        <v>2016</v>
      </c>
      <c r="H155" s="59">
        <v>12</v>
      </c>
      <c r="L155" t="s">
        <v>41</v>
      </c>
      <c r="M155">
        <v>12</v>
      </c>
    </row>
    <row r="156" spans="2:13" x14ac:dyDescent="0.2">
      <c r="B156" s="57" t="s">
        <v>234</v>
      </c>
      <c r="C156" s="59">
        <v>21</v>
      </c>
      <c r="G156" t="str">
        <f t="shared" si="2"/>
        <v>2016</v>
      </c>
      <c r="H156" s="59">
        <v>11</v>
      </c>
      <c r="L156" t="s">
        <v>41</v>
      </c>
      <c r="M156">
        <v>11</v>
      </c>
    </row>
    <row r="157" spans="2:13" x14ac:dyDescent="0.2">
      <c r="B157" s="57" t="s">
        <v>235</v>
      </c>
      <c r="C157" s="59">
        <v>29</v>
      </c>
      <c r="G157" t="str">
        <f t="shared" si="2"/>
        <v>2016</v>
      </c>
      <c r="H157" s="59">
        <v>10</v>
      </c>
      <c r="L157" t="s">
        <v>41</v>
      </c>
      <c r="M157">
        <v>10</v>
      </c>
    </row>
    <row r="158" spans="2:13" x14ac:dyDescent="0.2">
      <c r="B158" s="57" t="s">
        <v>236</v>
      </c>
      <c r="C158" s="59">
        <v>12</v>
      </c>
      <c r="G158" t="str">
        <f t="shared" si="2"/>
        <v>2016</v>
      </c>
      <c r="H158" s="59">
        <v>12</v>
      </c>
      <c r="L158" t="s">
        <v>41</v>
      </c>
      <c r="M158">
        <v>12</v>
      </c>
    </row>
    <row r="159" spans="2:13" x14ac:dyDescent="0.2">
      <c r="B159" s="57" t="s">
        <v>237</v>
      </c>
      <c r="C159" s="59">
        <v>11</v>
      </c>
      <c r="G159" t="str">
        <f t="shared" si="2"/>
        <v>2016</v>
      </c>
      <c r="H159" s="59">
        <v>10</v>
      </c>
      <c r="L159" t="s">
        <v>41</v>
      </c>
      <c r="M159">
        <v>10</v>
      </c>
    </row>
    <row r="160" spans="2:13" x14ac:dyDescent="0.2">
      <c r="B160" s="57" t="s">
        <v>238</v>
      </c>
      <c r="C160" s="59">
        <v>10</v>
      </c>
      <c r="G160" t="str">
        <f t="shared" si="2"/>
        <v>2017</v>
      </c>
      <c r="H160" s="59">
        <v>9</v>
      </c>
      <c r="L160" t="s">
        <v>42</v>
      </c>
      <c r="M160">
        <v>9</v>
      </c>
    </row>
    <row r="161" spans="2:13" x14ac:dyDescent="0.2">
      <c r="B161" s="57" t="s">
        <v>239</v>
      </c>
      <c r="C161" s="59">
        <v>12</v>
      </c>
      <c r="G161" t="str">
        <f t="shared" si="2"/>
        <v>2017</v>
      </c>
      <c r="H161" s="59">
        <v>8</v>
      </c>
      <c r="L161" t="s">
        <v>42</v>
      </c>
      <c r="M161">
        <v>8</v>
      </c>
    </row>
    <row r="162" spans="2:13" x14ac:dyDescent="0.2">
      <c r="B162" s="57" t="s">
        <v>240</v>
      </c>
      <c r="C162" s="59">
        <v>10</v>
      </c>
      <c r="G162" t="str">
        <f t="shared" si="2"/>
        <v>2017</v>
      </c>
      <c r="H162" s="59">
        <v>7</v>
      </c>
      <c r="L162" t="s">
        <v>42</v>
      </c>
      <c r="M162">
        <v>7</v>
      </c>
    </row>
    <row r="163" spans="2:13" x14ac:dyDescent="0.2">
      <c r="B163" s="57" t="s">
        <v>241</v>
      </c>
      <c r="C163" s="59">
        <v>9</v>
      </c>
      <c r="G163" t="str">
        <f t="shared" si="2"/>
        <v>2017</v>
      </c>
      <c r="H163" s="59">
        <v>6</v>
      </c>
      <c r="L163" t="s">
        <v>42</v>
      </c>
      <c r="M163">
        <v>6</v>
      </c>
    </row>
    <row r="164" spans="2:13" x14ac:dyDescent="0.2">
      <c r="B164" s="57" t="s">
        <v>242</v>
      </c>
      <c r="C164" s="59">
        <v>8</v>
      </c>
      <c r="G164" t="str">
        <f t="shared" si="2"/>
        <v>2017</v>
      </c>
      <c r="H164" s="59">
        <v>7</v>
      </c>
      <c r="L164" t="s">
        <v>42</v>
      </c>
      <c r="M164">
        <v>7</v>
      </c>
    </row>
    <row r="165" spans="2:13" x14ac:dyDescent="0.2">
      <c r="B165" s="57" t="s">
        <v>243</v>
      </c>
      <c r="C165" s="59">
        <v>7</v>
      </c>
      <c r="G165" t="str">
        <f t="shared" si="2"/>
        <v>2017</v>
      </c>
      <c r="H165" s="59">
        <v>8</v>
      </c>
      <c r="L165" t="s">
        <v>42</v>
      </c>
      <c r="M165">
        <v>8</v>
      </c>
    </row>
    <row r="166" spans="2:13" x14ac:dyDescent="0.2">
      <c r="B166" s="57" t="s">
        <v>244</v>
      </c>
      <c r="C166" s="59">
        <v>6</v>
      </c>
      <c r="G166" t="str">
        <f t="shared" si="2"/>
        <v>2017</v>
      </c>
      <c r="H166" s="59">
        <v>6</v>
      </c>
      <c r="L166" t="s">
        <v>42</v>
      </c>
      <c r="M166">
        <v>6</v>
      </c>
    </row>
    <row r="167" spans="2:13" x14ac:dyDescent="0.2">
      <c r="B167" s="57" t="s">
        <v>245</v>
      </c>
      <c r="C167" s="59">
        <v>7</v>
      </c>
      <c r="G167" t="str">
        <f t="shared" si="2"/>
        <v>2017</v>
      </c>
      <c r="H167" s="59">
        <v>31</v>
      </c>
      <c r="L167" t="s">
        <v>42</v>
      </c>
      <c r="M167">
        <v>31</v>
      </c>
    </row>
    <row r="168" spans="2:13" x14ac:dyDescent="0.2">
      <c r="B168" s="57" t="s">
        <v>246</v>
      </c>
      <c r="C168" s="59">
        <v>8</v>
      </c>
      <c r="G168" t="str">
        <f t="shared" si="2"/>
        <v>2017</v>
      </c>
      <c r="H168" s="59">
        <v>16</v>
      </c>
      <c r="L168" t="s">
        <v>42</v>
      </c>
      <c r="M168">
        <v>16</v>
      </c>
    </row>
    <row r="169" spans="2:13" x14ac:dyDescent="0.2">
      <c r="B169" s="57" t="s">
        <v>247</v>
      </c>
      <c r="C169" s="59">
        <v>6</v>
      </c>
      <c r="G169" t="str">
        <f t="shared" si="2"/>
        <v>2017</v>
      </c>
      <c r="H169" s="59">
        <v>12</v>
      </c>
      <c r="L169" t="s">
        <v>42</v>
      </c>
      <c r="M169">
        <v>12</v>
      </c>
    </row>
    <row r="170" spans="2:13" x14ac:dyDescent="0.2">
      <c r="B170" s="57" t="s">
        <v>248</v>
      </c>
      <c r="C170" s="59">
        <v>31</v>
      </c>
      <c r="G170" t="str">
        <f t="shared" si="2"/>
        <v>2017</v>
      </c>
      <c r="H170" s="59">
        <v>23</v>
      </c>
      <c r="L170" t="s">
        <v>42</v>
      </c>
      <c r="M170">
        <v>23</v>
      </c>
    </row>
    <row r="171" spans="2:13" x14ac:dyDescent="0.2">
      <c r="B171" s="57" t="s">
        <v>249</v>
      </c>
      <c r="C171" s="59">
        <v>16</v>
      </c>
      <c r="G171" t="str">
        <f t="shared" si="2"/>
        <v>2017</v>
      </c>
      <c r="H171" s="59">
        <v>17</v>
      </c>
      <c r="L171" t="s">
        <v>42</v>
      </c>
      <c r="M171">
        <v>17</v>
      </c>
    </row>
    <row r="172" spans="2:13" x14ac:dyDescent="0.2">
      <c r="B172" s="57" t="s">
        <v>250</v>
      </c>
      <c r="C172" s="59">
        <v>12</v>
      </c>
      <c r="G172" t="str">
        <f t="shared" si="2"/>
        <v>2018</v>
      </c>
      <c r="H172" s="59">
        <v>10</v>
      </c>
      <c r="L172" t="s">
        <v>339</v>
      </c>
      <c r="M172">
        <v>10</v>
      </c>
    </row>
    <row r="173" spans="2:13" x14ac:dyDescent="0.2">
      <c r="B173" s="57" t="s">
        <v>251</v>
      </c>
      <c r="C173" s="59">
        <v>23</v>
      </c>
      <c r="G173" t="str">
        <f t="shared" si="2"/>
        <v>2018</v>
      </c>
      <c r="H173" s="59">
        <v>7</v>
      </c>
      <c r="L173" t="s">
        <v>339</v>
      </c>
      <c r="M173">
        <v>7</v>
      </c>
    </row>
    <row r="174" spans="2:13" x14ac:dyDescent="0.2">
      <c r="B174" s="57" t="s">
        <v>252</v>
      </c>
      <c r="C174" s="59">
        <v>17</v>
      </c>
      <c r="G174" t="str">
        <f t="shared" si="2"/>
        <v>2018</v>
      </c>
      <c r="H174" s="59">
        <v>8</v>
      </c>
      <c r="L174" t="s">
        <v>339</v>
      </c>
      <c r="M174">
        <v>8</v>
      </c>
    </row>
    <row r="175" spans="2:13" x14ac:dyDescent="0.2">
      <c r="B175" s="57" t="s">
        <v>253</v>
      </c>
      <c r="C175" s="59">
        <v>10</v>
      </c>
      <c r="G175" t="str">
        <f t="shared" si="2"/>
        <v>2018</v>
      </c>
      <c r="H175" s="59">
        <v>8</v>
      </c>
      <c r="L175" t="s">
        <v>339</v>
      </c>
      <c r="M175">
        <v>8</v>
      </c>
    </row>
    <row r="176" spans="2:13" x14ac:dyDescent="0.2">
      <c r="B176" s="57" t="s">
        <v>254</v>
      </c>
      <c r="C176" s="59">
        <v>7</v>
      </c>
      <c r="G176" t="str">
        <f t="shared" si="2"/>
        <v>2018</v>
      </c>
      <c r="H176" s="59">
        <v>12</v>
      </c>
      <c r="L176" t="s">
        <v>339</v>
      </c>
      <c r="M176">
        <v>12</v>
      </c>
    </row>
    <row r="177" spans="2:13" x14ac:dyDescent="0.2">
      <c r="B177" s="57" t="s">
        <v>255</v>
      </c>
      <c r="C177" s="59">
        <v>8</v>
      </c>
      <c r="G177" t="str">
        <f t="shared" si="2"/>
        <v>2018</v>
      </c>
      <c r="H177" s="59">
        <v>9</v>
      </c>
      <c r="L177" t="s">
        <v>339</v>
      </c>
      <c r="M177">
        <v>9</v>
      </c>
    </row>
    <row r="178" spans="2:13" x14ac:dyDescent="0.2">
      <c r="B178" s="57" t="s">
        <v>256</v>
      </c>
      <c r="C178" s="59">
        <v>8</v>
      </c>
      <c r="G178" t="str">
        <f t="shared" si="2"/>
        <v>2018</v>
      </c>
      <c r="H178" s="59">
        <v>13</v>
      </c>
      <c r="L178" t="s">
        <v>339</v>
      </c>
      <c r="M178">
        <v>13</v>
      </c>
    </row>
    <row r="179" spans="2:13" x14ac:dyDescent="0.2">
      <c r="B179" s="57" t="s">
        <v>257</v>
      </c>
      <c r="C179" s="59">
        <v>12</v>
      </c>
      <c r="G179" t="str">
        <f t="shared" si="2"/>
        <v>2018</v>
      </c>
      <c r="H179" s="59">
        <v>9</v>
      </c>
      <c r="L179" t="s">
        <v>339</v>
      </c>
      <c r="M179">
        <v>9</v>
      </c>
    </row>
    <row r="180" spans="2:13" x14ac:dyDescent="0.2">
      <c r="B180" s="57" t="s">
        <v>258</v>
      </c>
      <c r="C180" s="59">
        <v>9</v>
      </c>
      <c r="G180" t="str">
        <f t="shared" si="2"/>
        <v>2018</v>
      </c>
      <c r="H180" s="59">
        <v>8</v>
      </c>
      <c r="L180" t="s">
        <v>339</v>
      </c>
      <c r="M180">
        <v>8</v>
      </c>
    </row>
    <row r="181" spans="2:13" x14ac:dyDescent="0.2">
      <c r="B181" s="57" t="s">
        <v>259</v>
      </c>
      <c r="C181" s="59">
        <v>13</v>
      </c>
      <c r="G181" t="str">
        <f t="shared" si="2"/>
        <v>2018</v>
      </c>
      <c r="H181" s="59">
        <v>11</v>
      </c>
      <c r="L181" t="s">
        <v>339</v>
      </c>
      <c r="M181">
        <v>11</v>
      </c>
    </row>
    <row r="182" spans="2:13" x14ac:dyDescent="0.2">
      <c r="B182" s="57" t="s">
        <v>260</v>
      </c>
      <c r="C182" s="59">
        <v>9</v>
      </c>
      <c r="G182" t="str">
        <f t="shared" si="2"/>
        <v>2018</v>
      </c>
      <c r="H182" s="59">
        <v>5</v>
      </c>
      <c r="L182" t="s">
        <v>339</v>
      </c>
      <c r="M182">
        <v>5</v>
      </c>
    </row>
    <row r="183" spans="2:13" x14ac:dyDescent="0.2">
      <c r="B183" s="57" t="s">
        <v>261</v>
      </c>
      <c r="C183" s="59">
        <v>8</v>
      </c>
      <c r="G183" t="str">
        <f t="shared" si="2"/>
        <v>2018</v>
      </c>
      <c r="H183" s="59">
        <v>6</v>
      </c>
      <c r="L183" t="s">
        <v>339</v>
      </c>
      <c r="M183">
        <v>6</v>
      </c>
    </row>
    <row r="184" spans="2:13" x14ac:dyDescent="0.2">
      <c r="B184" s="57" t="s">
        <v>262</v>
      </c>
      <c r="C184" s="59">
        <v>11</v>
      </c>
      <c r="G184" t="str">
        <f t="shared" si="2"/>
        <v>2019</v>
      </c>
      <c r="H184" s="59">
        <v>8</v>
      </c>
      <c r="L184" t="s">
        <v>44</v>
      </c>
      <c r="M184">
        <v>8</v>
      </c>
    </row>
    <row r="185" spans="2:13" x14ac:dyDescent="0.2">
      <c r="B185" s="57" t="s">
        <v>263</v>
      </c>
      <c r="C185" s="59">
        <v>5</v>
      </c>
      <c r="G185" t="str">
        <f t="shared" si="2"/>
        <v>2019</v>
      </c>
      <c r="H185" s="59">
        <v>6</v>
      </c>
      <c r="L185" t="s">
        <v>44</v>
      </c>
      <c r="M185">
        <v>6</v>
      </c>
    </row>
    <row r="186" spans="2:13" x14ac:dyDescent="0.2">
      <c r="B186" s="57" t="s">
        <v>264</v>
      </c>
      <c r="C186" s="59">
        <v>6</v>
      </c>
      <c r="G186" t="str">
        <f t="shared" si="2"/>
        <v>2019</v>
      </c>
      <c r="H186" s="59">
        <v>6</v>
      </c>
      <c r="L186" t="s">
        <v>44</v>
      </c>
      <c r="M186">
        <v>6</v>
      </c>
    </row>
    <row r="187" spans="2:13" x14ac:dyDescent="0.2">
      <c r="B187" s="57" t="s">
        <v>265</v>
      </c>
      <c r="C187" s="59">
        <v>8</v>
      </c>
      <c r="G187" t="str">
        <f t="shared" si="2"/>
        <v>2019</v>
      </c>
      <c r="H187" s="59">
        <v>12</v>
      </c>
      <c r="L187" t="s">
        <v>44</v>
      </c>
      <c r="M187">
        <v>12</v>
      </c>
    </row>
    <row r="188" spans="2:13" x14ac:dyDescent="0.2">
      <c r="B188" s="57" t="s">
        <v>266</v>
      </c>
      <c r="C188" s="59">
        <v>6</v>
      </c>
      <c r="G188" t="str">
        <f t="shared" si="2"/>
        <v>2019</v>
      </c>
      <c r="H188" s="59">
        <v>10</v>
      </c>
      <c r="L188" t="s">
        <v>44</v>
      </c>
      <c r="M188">
        <v>10</v>
      </c>
    </row>
    <row r="189" spans="2:13" x14ac:dyDescent="0.2">
      <c r="B189" s="57" t="s">
        <v>267</v>
      </c>
      <c r="C189" s="59">
        <v>6</v>
      </c>
      <c r="G189" t="str">
        <f t="shared" si="2"/>
        <v>2019</v>
      </c>
      <c r="H189" s="59">
        <v>12</v>
      </c>
      <c r="L189" t="s">
        <v>44</v>
      </c>
      <c r="M189">
        <v>12</v>
      </c>
    </row>
    <row r="190" spans="2:13" x14ac:dyDescent="0.2">
      <c r="B190" s="57" t="s">
        <v>268</v>
      </c>
      <c r="C190" s="59">
        <v>12</v>
      </c>
      <c r="G190" t="str">
        <f t="shared" si="2"/>
        <v>2019</v>
      </c>
      <c r="H190" s="59">
        <v>11</v>
      </c>
      <c r="L190" t="s">
        <v>44</v>
      </c>
      <c r="M190">
        <v>11</v>
      </c>
    </row>
    <row r="191" spans="2:13" x14ac:dyDescent="0.2">
      <c r="B191" s="57" t="s">
        <v>269</v>
      </c>
      <c r="C191" s="59">
        <v>10</v>
      </c>
      <c r="G191" t="str">
        <f t="shared" si="2"/>
        <v>2019</v>
      </c>
      <c r="H191" s="59">
        <v>18</v>
      </c>
      <c r="L191" t="s">
        <v>44</v>
      </c>
      <c r="M191">
        <v>18</v>
      </c>
    </row>
    <row r="192" spans="2:13" x14ac:dyDescent="0.2">
      <c r="B192" s="57" t="s">
        <v>270</v>
      </c>
      <c r="C192" s="59">
        <v>12</v>
      </c>
      <c r="G192" t="str">
        <f t="shared" si="2"/>
        <v>2019</v>
      </c>
      <c r="H192" s="59">
        <v>10</v>
      </c>
      <c r="L192" t="s">
        <v>44</v>
      </c>
      <c r="M192">
        <v>10</v>
      </c>
    </row>
    <row r="193" spans="2:13" x14ac:dyDescent="0.2">
      <c r="B193" s="57" t="s">
        <v>271</v>
      </c>
      <c r="C193" s="59">
        <v>11</v>
      </c>
      <c r="G193" t="str">
        <f t="shared" si="2"/>
        <v>2019</v>
      </c>
      <c r="H193" s="59">
        <v>10</v>
      </c>
      <c r="L193" t="s">
        <v>44</v>
      </c>
      <c r="M193">
        <v>10</v>
      </c>
    </row>
    <row r="194" spans="2:13" x14ac:dyDescent="0.2">
      <c r="B194" s="57" t="s">
        <v>272</v>
      </c>
      <c r="C194" s="59">
        <v>18</v>
      </c>
      <c r="G194" t="str">
        <f t="shared" si="2"/>
        <v>2019</v>
      </c>
      <c r="H194" s="59">
        <v>13</v>
      </c>
      <c r="L194" t="s">
        <v>44</v>
      </c>
      <c r="M194">
        <v>13</v>
      </c>
    </row>
    <row r="195" spans="2:13" x14ac:dyDescent="0.2">
      <c r="B195" s="57" t="s">
        <v>273</v>
      </c>
      <c r="C195" s="59">
        <v>10</v>
      </c>
      <c r="G195" t="str">
        <f t="shared" si="2"/>
        <v>2019</v>
      </c>
      <c r="H195" s="59">
        <v>10</v>
      </c>
      <c r="L195" t="s">
        <v>44</v>
      </c>
      <c r="M195">
        <v>10</v>
      </c>
    </row>
    <row r="196" spans="2:13" x14ac:dyDescent="0.2">
      <c r="B196" s="57" t="s">
        <v>274</v>
      </c>
      <c r="C196" s="59">
        <v>10</v>
      </c>
      <c r="G196" t="str">
        <f t="shared" si="2"/>
        <v>2020</v>
      </c>
      <c r="H196" s="59">
        <v>7</v>
      </c>
      <c r="L196" t="s">
        <v>350</v>
      </c>
      <c r="M196">
        <v>7</v>
      </c>
    </row>
    <row r="197" spans="2:13" x14ac:dyDescent="0.2">
      <c r="B197" s="57" t="s">
        <v>275</v>
      </c>
      <c r="C197" s="59">
        <v>13</v>
      </c>
      <c r="G197" t="str">
        <f t="shared" ref="G197:G256" si="3">LEFT(B200,4)</f>
        <v>2020</v>
      </c>
      <c r="H197" s="59">
        <v>12</v>
      </c>
      <c r="L197" t="s">
        <v>350</v>
      </c>
      <c r="M197">
        <v>12</v>
      </c>
    </row>
    <row r="198" spans="2:13" x14ac:dyDescent="0.2">
      <c r="B198" s="57" t="s">
        <v>276</v>
      </c>
      <c r="C198" s="59">
        <v>10</v>
      </c>
      <c r="G198" t="str">
        <f t="shared" si="3"/>
        <v>2020</v>
      </c>
      <c r="H198" s="59">
        <v>7</v>
      </c>
      <c r="L198" t="s">
        <v>350</v>
      </c>
      <c r="M198">
        <v>7</v>
      </c>
    </row>
    <row r="199" spans="2:13" x14ac:dyDescent="0.2">
      <c r="B199" s="57" t="s">
        <v>277</v>
      </c>
      <c r="C199" s="59">
        <v>7</v>
      </c>
      <c r="G199" t="str">
        <f t="shared" si="3"/>
        <v>2020</v>
      </c>
      <c r="H199" s="59">
        <v>6</v>
      </c>
      <c r="L199" t="s">
        <v>350</v>
      </c>
      <c r="M199">
        <v>6</v>
      </c>
    </row>
    <row r="200" spans="2:13" x14ac:dyDescent="0.2">
      <c r="B200" s="57" t="s">
        <v>278</v>
      </c>
      <c r="C200" s="59">
        <v>12</v>
      </c>
      <c r="G200" t="str">
        <f t="shared" si="3"/>
        <v>2020</v>
      </c>
      <c r="H200" s="59">
        <v>7</v>
      </c>
      <c r="L200" t="s">
        <v>350</v>
      </c>
      <c r="M200">
        <v>7</v>
      </c>
    </row>
    <row r="201" spans="2:13" x14ac:dyDescent="0.2">
      <c r="B201" s="57" t="s">
        <v>279</v>
      </c>
      <c r="C201" s="59">
        <v>7</v>
      </c>
      <c r="G201" t="str">
        <f t="shared" si="3"/>
        <v>2020</v>
      </c>
      <c r="H201" s="59">
        <v>5</v>
      </c>
      <c r="L201" t="s">
        <v>350</v>
      </c>
      <c r="M201">
        <v>5</v>
      </c>
    </row>
    <row r="202" spans="2:13" x14ac:dyDescent="0.2">
      <c r="B202" s="57" t="s">
        <v>280</v>
      </c>
      <c r="C202" s="59">
        <v>6</v>
      </c>
      <c r="G202" t="str">
        <f t="shared" si="3"/>
        <v>2020</v>
      </c>
      <c r="H202" s="59">
        <v>14</v>
      </c>
      <c r="L202" t="s">
        <v>350</v>
      </c>
      <c r="M202">
        <v>14</v>
      </c>
    </row>
    <row r="203" spans="2:13" x14ac:dyDescent="0.2">
      <c r="B203" s="57" t="s">
        <v>281</v>
      </c>
      <c r="C203" s="59">
        <v>7</v>
      </c>
      <c r="G203" t="str">
        <f t="shared" si="3"/>
        <v>2020</v>
      </c>
      <c r="H203" s="59">
        <v>10</v>
      </c>
      <c r="L203" t="s">
        <v>350</v>
      </c>
      <c r="M203">
        <v>10</v>
      </c>
    </row>
    <row r="204" spans="2:13" x14ac:dyDescent="0.2">
      <c r="B204" s="57" t="s">
        <v>282</v>
      </c>
      <c r="C204" s="59">
        <v>5</v>
      </c>
      <c r="G204" t="str">
        <f t="shared" si="3"/>
        <v>2020</v>
      </c>
      <c r="H204" s="59">
        <v>7</v>
      </c>
      <c r="L204" t="s">
        <v>350</v>
      </c>
      <c r="M204">
        <v>7</v>
      </c>
    </row>
    <row r="205" spans="2:13" x14ac:dyDescent="0.2">
      <c r="B205" s="57" t="s">
        <v>283</v>
      </c>
      <c r="C205" s="59">
        <v>14</v>
      </c>
      <c r="G205" t="str">
        <f t="shared" si="3"/>
        <v>2020</v>
      </c>
      <c r="H205" s="59">
        <v>6</v>
      </c>
      <c r="L205" t="s">
        <v>350</v>
      </c>
      <c r="M205">
        <v>6</v>
      </c>
    </row>
    <row r="206" spans="2:13" x14ac:dyDescent="0.2">
      <c r="B206" s="57" t="s">
        <v>284</v>
      </c>
      <c r="C206" s="59">
        <v>10</v>
      </c>
      <c r="G206" t="str">
        <f t="shared" si="3"/>
        <v>2020</v>
      </c>
      <c r="H206" s="59">
        <v>7</v>
      </c>
      <c r="L206" t="s">
        <v>350</v>
      </c>
      <c r="M206">
        <v>7</v>
      </c>
    </row>
    <row r="207" spans="2:13" x14ac:dyDescent="0.2">
      <c r="B207" s="57" t="s">
        <v>285</v>
      </c>
      <c r="C207" s="59">
        <v>7</v>
      </c>
      <c r="G207" t="str">
        <f t="shared" si="3"/>
        <v>2020</v>
      </c>
      <c r="H207" s="59">
        <v>14</v>
      </c>
      <c r="L207" t="s">
        <v>350</v>
      </c>
      <c r="M207">
        <v>14</v>
      </c>
    </row>
    <row r="208" spans="2:13" x14ac:dyDescent="0.2">
      <c r="B208" s="57" t="s">
        <v>286</v>
      </c>
      <c r="C208" s="59">
        <v>6</v>
      </c>
      <c r="G208" t="str">
        <f t="shared" si="3"/>
        <v>2021</v>
      </c>
      <c r="H208" s="59">
        <v>7</v>
      </c>
      <c r="L208" t="s">
        <v>351</v>
      </c>
      <c r="M208">
        <v>7</v>
      </c>
    </row>
    <row r="209" spans="2:13" x14ac:dyDescent="0.2">
      <c r="B209" s="57" t="s">
        <v>287</v>
      </c>
      <c r="C209" s="59">
        <v>7</v>
      </c>
      <c r="G209" t="str">
        <f t="shared" si="3"/>
        <v>2021</v>
      </c>
      <c r="H209" s="59">
        <v>9</v>
      </c>
      <c r="L209" t="s">
        <v>351</v>
      </c>
      <c r="M209">
        <v>9</v>
      </c>
    </row>
    <row r="210" spans="2:13" x14ac:dyDescent="0.2">
      <c r="B210" s="57" t="s">
        <v>288</v>
      </c>
      <c r="C210" s="59">
        <v>14</v>
      </c>
      <c r="G210" t="str">
        <f t="shared" si="3"/>
        <v>2021</v>
      </c>
      <c r="H210" s="59">
        <v>10</v>
      </c>
      <c r="L210" t="s">
        <v>351</v>
      </c>
      <c r="M210">
        <v>10</v>
      </c>
    </row>
    <row r="211" spans="2:13" x14ac:dyDescent="0.2">
      <c r="B211" s="57" t="s">
        <v>289</v>
      </c>
      <c r="C211" s="59">
        <v>7</v>
      </c>
      <c r="G211" t="str">
        <f t="shared" si="3"/>
        <v>2021</v>
      </c>
      <c r="H211" s="59">
        <v>10</v>
      </c>
      <c r="L211" t="s">
        <v>351</v>
      </c>
      <c r="M211">
        <v>10</v>
      </c>
    </row>
    <row r="212" spans="2:13" x14ac:dyDescent="0.2">
      <c r="B212" s="57" t="s">
        <v>290</v>
      </c>
      <c r="C212" s="59">
        <v>9</v>
      </c>
      <c r="G212" t="str">
        <f t="shared" si="3"/>
        <v>2021</v>
      </c>
      <c r="H212" s="59">
        <v>7</v>
      </c>
      <c r="L212" t="s">
        <v>351</v>
      </c>
      <c r="M212">
        <v>7</v>
      </c>
    </row>
    <row r="213" spans="2:13" x14ac:dyDescent="0.2">
      <c r="B213" s="57" t="s">
        <v>291</v>
      </c>
      <c r="C213" s="59">
        <v>10</v>
      </c>
      <c r="G213" t="str">
        <f t="shared" si="3"/>
        <v>2021</v>
      </c>
      <c r="H213" s="59">
        <v>7</v>
      </c>
      <c r="L213" t="s">
        <v>351</v>
      </c>
      <c r="M213">
        <v>7</v>
      </c>
    </row>
    <row r="214" spans="2:13" x14ac:dyDescent="0.2">
      <c r="B214" s="57" t="s">
        <v>292</v>
      </c>
      <c r="C214" s="59">
        <v>10</v>
      </c>
      <c r="G214" t="str">
        <f t="shared" si="3"/>
        <v>2021</v>
      </c>
      <c r="H214" s="59">
        <v>6</v>
      </c>
      <c r="L214" t="s">
        <v>351</v>
      </c>
      <c r="M214">
        <v>6</v>
      </c>
    </row>
    <row r="215" spans="2:13" x14ac:dyDescent="0.2">
      <c r="B215" s="57" t="s">
        <v>293</v>
      </c>
      <c r="C215" s="59">
        <v>7</v>
      </c>
      <c r="G215" t="str">
        <f t="shared" si="3"/>
        <v>2021</v>
      </c>
      <c r="H215" s="59">
        <v>7</v>
      </c>
      <c r="L215" t="s">
        <v>351</v>
      </c>
      <c r="M215">
        <v>7</v>
      </c>
    </row>
    <row r="216" spans="2:13" x14ac:dyDescent="0.2">
      <c r="B216" s="57" t="s">
        <v>294</v>
      </c>
      <c r="C216" s="59">
        <v>7</v>
      </c>
      <c r="G216" t="str">
        <f t="shared" si="3"/>
        <v>2021</v>
      </c>
      <c r="H216" s="59">
        <v>6</v>
      </c>
      <c r="L216" t="s">
        <v>351</v>
      </c>
      <c r="M216">
        <v>6</v>
      </c>
    </row>
    <row r="217" spans="2:13" x14ac:dyDescent="0.2">
      <c r="B217" s="57" t="s">
        <v>295</v>
      </c>
      <c r="C217" s="59">
        <v>6</v>
      </c>
      <c r="G217" t="str">
        <f t="shared" si="3"/>
        <v>2021</v>
      </c>
      <c r="H217" s="59">
        <v>7</v>
      </c>
      <c r="L217" t="s">
        <v>351</v>
      </c>
      <c r="M217">
        <v>7</v>
      </c>
    </row>
    <row r="218" spans="2:13" x14ac:dyDescent="0.2">
      <c r="B218" s="57" t="s">
        <v>296</v>
      </c>
      <c r="C218" s="59">
        <v>7</v>
      </c>
      <c r="G218" t="str">
        <f t="shared" si="3"/>
        <v>2021</v>
      </c>
      <c r="H218" s="59">
        <v>29</v>
      </c>
      <c r="L218" t="s">
        <v>351</v>
      </c>
      <c r="M218">
        <v>29</v>
      </c>
    </row>
    <row r="219" spans="2:13" x14ac:dyDescent="0.2">
      <c r="B219" s="57" t="s">
        <v>297</v>
      </c>
      <c r="C219" s="59">
        <v>6</v>
      </c>
      <c r="G219" t="str">
        <f t="shared" si="3"/>
        <v>2021</v>
      </c>
      <c r="H219" s="59">
        <v>10</v>
      </c>
      <c r="L219" t="s">
        <v>351</v>
      </c>
      <c r="M219">
        <v>10</v>
      </c>
    </row>
    <row r="220" spans="2:13" x14ac:dyDescent="0.2">
      <c r="B220" s="57" t="s">
        <v>298</v>
      </c>
      <c r="C220" s="59">
        <v>7</v>
      </c>
      <c r="G220" t="str">
        <f t="shared" si="3"/>
        <v>2022</v>
      </c>
      <c r="H220" s="59">
        <v>9</v>
      </c>
      <c r="L220" t="s">
        <v>352</v>
      </c>
      <c r="M220">
        <v>9</v>
      </c>
    </row>
    <row r="221" spans="2:13" x14ac:dyDescent="0.2">
      <c r="B221" s="57" t="s">
        <v>299</v>
      </c>
      <c r="C221" s="59">
        <v>29</v>
      </c>
      <c r="G221" t="str">
        <f t="shared" si="3"/>
        <v>2022</v>
      </c>
      <c r="H221" s="59">
        <v>10</v>
      </c>
      <c r="L221" t="s">
        <v>352</v>
      </c>
      <c r="M221">
        <v>10</v>
      </c>
    </row>
    <row r="222" spans="2:13" x14ac:dyDescent="0.2">
      <c r="B222" s="57" t="s">
        <v>300</v>
      </c>
      <c r="C222" s="59">
        <v>10</v>
      </c>
      <c r="G222" t="str">
        <f t="shared" si="3"/>
        <v>2022</v>
      </c>
      <c r="H222" s="59">
        <v>7</v>
      </c>
      <c r="L222" t="s">
        <v>352</v>
      </c>
      <c r="M222">
        <v>7</v>
      </c>
    </row>
    <row r="223" spans="2:13" x14ac:dyDescent="0.2">
      <c r="B223" s="57" t="s">
        <v>301</v>
      </c>
      <c r="C223" s="59">
        <v>9</v>
      </c>
      <c r="G223" t="str">
        <f t="shared" si="3"/>
        <v>2022</v>
      </c>
      <c r="H223" s="59">
        <v>9</v>
      </c>
      <c r="L223" t="s">
        <v>352</v>
      </c>
      <c r="M223">
        <v>9</v>
      </c>
    </row>
    <row r="224" spans="2:13" x14ac:dyDescent="0.2">
      <c r="B224" s="57" t="s">
        <v>302</v>
      </c>
      <c r="C224" s="59">
        <v>10</v>
      </c>
      <c r="G224" t="str">
        <f t="shared" si="3"/>
        <v>2022</v>
      </c>
      <c r="H224" s="59">
        <v>11</v>
      </c>
      <c r="L224" t="s">
        <v>352</v>
      </c>
      <c r="M224">
        <v>11</v>
      </c>
    </row>
    <row r="225" spans="2:13" x14ac:dyDescent="0.2">
      <c r="B225" s="57" t="s">
        <v>303</v>
      </c>
      <c r="C225" s="59">
        <v>7</v>
      </c>
      <c r="G225" t="str">
        <f t="shared" si="3"/>
        <v>2022</v>
      </c>
      <c r="H225" s="59">
        <v>7</v>
      </c>
      <c r="L225" t="s">
        <v>352</v>
      </c>
      <c r="M225">
        <v>7</v>
      </c>
    </row>
    <row r="226" spans="2:13" x14ac:dyDescent="0.2">
      <c r="B226" s="57" t="s">
        <v>304</v>
      </c>
      <c r="C226" s="59">
        <v>9</v>
      </c>
      <c r="G226" t="str">
        <f t="shared" si="3"/>
        <v>2022</v>
      </c>
      <c r="H226" s="59">
        <v>8</v>
      </c>
      <c r="L226" t="s">
        <v>352</v>
      </c>
      <c r="M226">
        <v>8</v>
      </c>
    </row>
    <row r="227" spans="2:13" x14ac:dyDescent="0.2">
      <c r="B227" s="57" t="s">
        <v>305</v>
      </c>
      <c r="C227" s="59">
        <v>11</v>
      </c>
      <c r="G227" t="str">
        <f t="shared" si="3"/>
        <v>2022</v>
      </c>
      <c r="H227" s="59">
        <v>10</v>
      </c>
      <c r="L227" t="s">
        <v>352</v>
      </c>
      <c r="M227">
        <v>10</v>
      </c>
    </row>
    <row r="228" spans="2:13" x14ac:dyDescent="0.2">
      <c r="B228" s="57" t="s">
        <v>306</v>
      </c>
      <c r="C228" s="59">
        <v>7</v>
      </c>
      <c r="G228" t="str">
        <f t="shared" si="3"/>
        <v>2022</v>
      </c>
      <c r="H228" s="59">
        <v>10</v>
      </c>
      <c r="L228" t="s">
        <v>352</v>
      </c>
      <c r="M228">
        <v>10</v>
      </c>
    </row>
    <row r="229" spans="2:13" x14ac:dyDescent="0.2">
      <c r="B229" s="57" t="s">
        <v>307</v>
      </c>
      <c r="C229" s="59">
        <v>8</v>
      </c>
      <c r="G229" t="str">
        <f t="shared" si="3"/>
        <v>2022</v>
      </c>
      <c r="H229" s="59">
        <v>25</v>
      </c>
      <c r="L229" t="s">
        <v>352</v>
      </c>
      <c r="M229">
        <v>25</v>
      </c>
    </row>
    <row r="230" spans="2:13" x14ac:dyDescent="0.2">
      <c r="B230" s="57" t="s">
        <v>308</v>
      </c>
      <c r="C230" s="59">
        <v>10</v>
      </c>
      <c r="G230" t="str">
        <f t="shared" si="3"/>
        <v>2022</v>
      </c>
      <c r="H230" s="59">
        <v>51</v>
      </c>
      <c r="L230" t="s">
        <v>352</v>
      </c>
      <c r="M230">
        <v>51</v>
      </c>
    </row>
    <row r="231" spans="2:13" x14ac:dyDescent="0.2">
      <c r="B231" s="57" t="s">
        <v>309</v>
      </c>
      <c r="C231" s="59">
        <v>10</v>
      </c>
      <c r="G231" t="str">
        <f t="shared" si="3"/>
        <v>2022</v>
      </c>
      <c r="H231" s="59">
        <v>16</v>
      </c>
      <c r="L231" t="s">
        <v>352</v>
      </c>
      <c r="M231">
        <v>16</v>
      </c>
    </row>
    <row r="232" spans="2:13" x14ac:dyDescent="0.2">
      <c r="B232" s="57" t="s">
        <v>310</v>
      </c>
      <c r="C232" s="59">
        <v>25</v>
      </c>
      <c r="G232" t="str">
        <f t="shared" si="3"/>
        <v>2023</v>
      </c>
      <c r="H232" s="59">
        <v>15</v>
      </c>
      <c r="L232" t="s">
        <v>353</v>
      </c>
      <c r="M232">
        <v>15</v>
      </c>
    </row>
    <row r="233" spans="2:13" x14ac:dyDescent="0.2">
      <c r="B233" s="57" t="s">
        <v>311</v>
      </c>
      <c r="C233" s="59">
        <v>51</v>
      </c>
      <c r="G233" t="str">
        <f t="shared" si="3"/>
        <v>2023</v>
      </c>
      <c r="H233" s="59">
        <v>16</v>
      </c>
      <c r="L233" t="s">
        <v>353</v>
      </c>
      <c r="M233">
        <v>16</v>
      </c>
    </row>
    <row r="234" spans="2:13" x14ac:dyDescent="0.2">
      <c r="B234" s="57" t="s">
        <v>312</v>
      </c>
      <c r="C234" s="59">
        <v>16</v>
      </c>
      <c r="G234" t="str">
        <f t="shared" si="3"/>
        <v>2023</v>
      </c>
      <c r="H234" s="59">
        <v>29</v>
      </c>
      <c r="L234" t="s">
        <v>353</v>
      </c>
      <c r="M234">
        <v>29</v>
      </c>
    </row>
    <row r="235" spans="2:13" x14ac:dyDescent="0.2">
      <c r="B235" s="57" t="s">
        <v>313</v>
      </c>
      <c r="C235" s="59">
        <v>15</v>
      </c>
      <c r="G235" t="str">
        <f t="shared" si="3"/>
        <v>2023</v>
      </c>
      <c r="H235" s="59">
        <v>41</v>
      </c>
      <c r="L235" t="s">
        <v>353</v>
      </c>
      <c r="M235">
        <v>41</v>
      </c>
    </row>
    <row r="236" spans="2:13" x14ac:dyDescent="0.2">
      <c r="B236" s="57" t="s">
        <v>314</v>
      </c>
      <c r="C236" s="59">
        <v>16</v>
      </c>
      <c r="G236" t="str">
        <f t="shared" si="3"/>
        <v>2023</v>
      </c>
      <c r="H236" s="59">
        <v>58</v>
      </c>
      <c r="L236" t="s">
        <v>353</v>
      </c>
      <c r="M236">
        <v>58</v>
      </c>
    </row>
    <row r="237" spans="2:13" x14ac:dyDescent="0.2">
      <c r="B237" s="57" t="s">
        <v>315</v>
      </c>
      <c r="C237" s="59">
        <v>29</v>
      </c>
      <c r="G237" t="str">
        <f t="shared" si="3"/>
        <v>2023</v>
      </c>
      <c r="H237" s="59">
        <v>42</v>
      </c>
      <c r="L237" t="s">
        <v>353</v>
      </c>
      <c r="M237">
        <v>42</v>
      </c>
    </row>
    <row r="238" spans="2:13" x14ac:dyDescent="0.2">
      <c r="B238" s="57" t="s">
        <v>316</v>
      </c>
      <c r="C238" s="59">
        <v>41</v>
      </c>
      <c r="G238" t="str">
        <f t="shared" si="3"/>
        <v>2023</v>
      </c>
      <c r="H238" s="59">
        <v>49</v>
      </c>
      <c r="L238" t="s">
        <v>353</v>
      </c>
      <c r="M238">
        <v>49</v>
      </c>
    </row>
    <row r="239" spans="2:13" x14ac:dyDescent="0.2">
      <c r="B239" s="57" t="s">
        <v>317</v>
      </c>
      <c r="C239" s="59">
        <v>58</v>
      </c>
      <c r="G239" t="str">
        <f t="shared" si="3"/>
        <v>2023</v>
      </c>
      <c r="H239" s="59">
        <v>50</v>
      </c>
      <c r="L239" t="s">
        <v>353</v>
      </c>
      <c r="M239">
        <v>50</v>
      </c>
    </row>
    <row r="240" spans="2:13" x14ac:dyDescent="0.2">
      <c r="B240" s="57" t="s">
        <v>318</v>
      </c>
      <c r="C240" s="59">
        <v>42</v>
      </c>
      <c r="G240" t="str">
        <f t="shared" si="3"/>
        <v>2023</v>
      </c>
      <c r="H240" s="59">
        <v>63</v>
      </c>
      <c r="L240" t="s">
        <v>353</v>
      </c>
      <c r="M240">
        <v>63</v>
      </c>
    </row>
    <row r="241" spans="2:13" x14ac:dyDescent="0.2">
      <c r="B241" s="57" t="s">
        <v>319</v>
      </c>
      <c r="C241" s="59">
        <v>49</v>
      </c>
      <c r="G241" t="str">
        <f t="shared" si="3"/>
        <v>2023</v>
      </c>
      <c r="H241" s="59">
        <v>81</v>
      </c>
      <c r="L241" t="s">
        <v>353</v>
      </c>
      <c r="M241">
        <v>81</v>
      </c>
    </row>
    <row r="242" spans="2:13" x14ac:dyDescent="0.2">
      <c r="B242" s="57" t="s">
        <v>320</v>
      </c>
      <c r="C242" s="59">
        <v>50</v>
      </c>
      <c r="G242" t="str">
        <f t="shared" si="3"/>
        <v>2023</v>
      </c>
      <c r="H242" s="59">
        <v>62</v>
      </c>
      <c r="L242" t="s">
        <v>353</v>
      </c>
      <c r="M242">
        <v>62</v>
      </c>
    </row>
    <row r="243" spans="2:13" x14ac:dyDescent="0.2">
      <c r="B243" s="57" t="s">
        <v>321</v>
      </c>
      <c r="C243" s="59">
        <v>63</v>
      </c>
      <c r="G243" t="str">
        <f t="shared" si="3"/>
        <v>2023</v>
      </c>
      <c r="H243" s="59">
        <v>58</v>
      </c>
      <c r="L243" t="s">
        <v>353</v>
      </c>
      <c r="M243">
        <v>58</v>
      </c>
    </row>
    <row r="244" spans="2:13" x14ac:dyDescent="0.2">
      <c r="B244" s="57" t="s">
        <v>322</v>
      </c>
      <c r="C244" s="59">
        <v>81</v>
      </c>
      <c r="G244" t="str">
        <f t="shared" si="3"/>
        <v>2024</v>
      </c>
      <c r="H244" s="59">
        <v>61</v>
      </c>
      <c r="L244" t="s">
        <v>354</v>
      </c>
      <c r="M244">
        <v>61</v>
      </c>
    </row>
    <row r="245" spans="2:13" x14ac:dyDescent="0.2">
      <c r="B245" s="57" t="s">
        <v>323</v>
      </c>
      <c r="C245" s="59">
        <v>62</v>
      </c>
      <c r="G245" t="str">
        <f t="shared" si="3"/>
        <v>2024</v>
      </c>
      <c r="H245" s="59">
        <v>100</v>
      </c>
      <c r="L245" t="s">
        <v>354</v>
      </c>
      <c r="M245">
        <v>100</v>
      </c>
    </row>
    <row r="246" spans="2:13" x14ac:dyDescent="0.2">
      <c r="B246" s="57" t="s">
        <v>324</v>
      </c>
      <c r="C246" s="59">
        <v>58</v>
      </c>
      <c r="G246" t="str">
        <f t="shared" si="3"/>
        <v>2024</v>
      </c>
      <c r="H246" s="59">
        <v>41</v>
      </c>
      <c r="L246" t="s">
        <v>354</v>
      </c>
      <c r="M246">
        <v>41</v>
      </c>
    </row>
    <row r="247" spans="2:13" x14ac:dyDescent="0.2">
      <c r="B247" s="57" t="s">
        <v>325</v>
      </c>
      <c r="C247" s="59">
        <v>61</v>
      </c>
      <c r="G247" t="str">
        <f t="shared" si="3"/>
        <v>2024</v>
      </c>
      <c r="H247" s="59">
        <v>59</v>
      </c>
      <c r="L247" t="s">
        <v>354</v>
      </c>
      <c r="M247">
        <v>59</v>
      </c>
    </row>
    <row r="248" spans="2:13" x14ac:dyDescent="0.2">
      <c r="B248" s="57" t="s">
        <v>326</v>
      </c>
      <c r="C248" s="59">
        <v>100</v>
      </c>
      <c r="G248" t="str">
        <f t="shared" si="3"/>
        <v>2024</v>
      </c>
      <c r="H248" s="59">
        <v>39</v>
      </c>
      <c r="L248" t="s">
        <v>354</v>
      </c>
      <c r="M248">
        <v>39</v>
      </c>
    </row>
    <row r="249" spans="2:13" x14ac:dyDescent="0.2">
      <c r="B249" s="57" t="s">
        <v>327</v>
      </c>
      <c r="C249" s="59">
        <v>41</v>
      </c>
      <c r="G249" t="str">
        <f t="shared" si="3"/>
        <v>2024</v>
      </c>
      <c r="H249" s="59">
        <v>36</v>
      </c>
      <c r="L249" t="s">
        <v>354</v>
      </c>
      <c r="M249">
        <v>36</v>
      </c>
    </row>
    <row r="250" spans="2:13" x14ac:dyDescent="0.2">
      <c r="B250" s="57" t="s">
        <v>328</v>
      </c>
      <c r="C250" s="59">
        <v>59</v>
      </c>
      <c r="G250" t="str">
        <f t="shared" si="3"/>
        <v>2024</v>
      </c>
      <c r="H250" s="59">
        <v>31</v>
      </c>
      <c r="L250" t="s">
        <v>354</v>
      </c>
      <c r="M250">
        <v>31</v>
      </c>
    </row>
    <row r="251" spans="2:13" x14ac:dyDescent="0.2">
      <c r="B251" s="57" t="s">
        <v>329</v>
      </c>
      <c r="C251" s="59">
        <v>39</v>
      </c>
      <c r="G251" t="str">
        <f t="shared" si="3"/>
        <v>2024</v>
      </c>
      <c r="H251" s="59">
        <v>31</v>
      </c>
      <c r="L251" t="s">
        <v>354</v>
      </c>
      <c r="M251">
        <v>31</v>
      </c>
    </row>
    <row r="252" spans="2:13" x14ac:dyDescent="0.2">
      <c r="B252" s="57" t="s">
        <v>330</v>
      </c>
      <c r="C252" s="59">
        <v>36</v>
      </c>
      <c r="G252" t="str">
        <f t="shared" si="3"/>
        <v>2024</v>
      </c>
      <c r="H252" s="59">
        <v>40</v>
      </c>
      <c r="L252" t="s">
        <v>354</v>
      </c>
      <c r="M252">
        <v>40</v>
      </c>
    </row>
    <row r="253" spans="2:13" x14ac:dyDescent="0.2">
      <c r="B253" s="57" t="s">
        <v>331</v>
      </c>
      <c r="C253" s="59">
        <v>31</v>
      </c>
      <c r="G253" t="str">
        <f t="shared" si="3"/>
        <v>2024</v>
      </c>
      <c r="H253" s="59">
        <v>27</v>
      </c>
      <c r="L253" t="s">
        <v>354</v>
      </c>
      <c r="M253">
        <v>27</v>
      </c>
    </row>
    <row r="254" spans="2:13" x14ac:dyDescent="0.2">
      <c r="B254" s="57" t="s">
        <v>332</v>
      </c>
      <c r="C254" s="59">
        <v>31</v>
      </c>
      <c r="G254" t="str">
        <f t="shared" si="3"/>
        <v/>
      </c>
    </row>
    <row r="255" spans="2:13" x14ac:dyDescent="0.2">
      <c r="B255" s="57" t="s">
        <v>333</v>
      </c>
      <c r="C255" s="59">
        <v>40</v>
      </c>
      <c r="G255" t="str">
        <f t="shared" si="3"/>
        <v/>
      </c>
    </row>
    <row r="256" spans="2:13" x14ac:dyDescent="0.2">
      <c r="B256" s="57" t="s">
        <v>334</v>
      </c>
      <c r="C256" s="59">
        <v>27</v>
      </c>
      <c r="G256" t="str">
        <f t="shared" si="3"/>
        <v/>
      </c>
    </row>
    <row r="260" spans="2:2" x14ac:dyDescent="0.2">
      <c r="B260" t="s">
        <v>346</v>
      </c>
    </row>
    <row r="262" spans="2:2" ht="21" x14ac:dyDescent="0.25">
      <c r="B262" s="62" t="str">
        <f>LEFT(B7,4)</f>
        <v>2004</v>
      </c>
    </row>
  </sheetData>
  <mergeCells count="1">
    <mergeCell ref="B3:C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21023-3DC8-464D-B79A-AEE45DD1F113}">
  <dimension ref="A2:H28"/>
  <sheetViews>
    <sheetView tabSelected="1" workbookViewId="0">
      <selection activeCell="H4" sqref="H4:H29"/>
    </sheetView>
  </sheetViews>
  <sheetFormatPr baseColWidth="10" defaultRowHeight="16" x14ac:dyDescent="0.2"/>
  <sheetData>
    <row r="2" spans="1:8" x14ac:dyDescent="0.2">
      <c r="A2" t="s">
        <v>364</v>
      </c>
      <c r="H2" t="s">
        <v>370</v>
      </c>
    </row>
    <row r="5" spans="1:8" ht="40" x14ac:dyDescent="0.2">
      <c r="A5" s="10" t="s">
        <v>5</v>
      </c>
      <c r="B5" s="12" t="s">
        <v>8</v>
      </c>
      <c r="C5" s="12" t="s">
        <v>366</v>
      </c>
      <c r="D5" s="70" t="s">
        <v>365</v>
      </c>
    </row>
    <row r="6" spans="1:8" x14ac:dyDescent="0.2">
      <c r="A6" s="13">
        <v>2000</v>
      </c>
      <c r="B6" s="15">
        <v>506.5</v>
      </c>
      <c r="C6" s="69">
        <v>0</v>
      </c>
      <c r="D6" s="34">
        <v>19394</v>
      </c>
    </row>
    <row r="7" spans="1:8" x14ac:dyDescent="0.2">
      <c r="A7" s="13" t="s">
        <v>338</v>
      </c>
      <c r="B7" s="15">
        <v>504.5</v>
      </c>
      <c r="C7" s="69">
        <v>0.5</v>
      </c>
      <c r="D7" s="40">
        <v>23518</v>
      </c>
    </row>
    <row r="8" spans="1:8" x14ac:dyDescent="0.2">
      <c r="A8" s="13">
        <v>2002</v>
      </c>
      <c r="B8" s="15">
        <v>494.4</v>
      </c>
      <c r="C8" s="69">
        <v>15</v>
      </c>
      <c r="D8" s="40">
        <v>25785</v>
      </c>
    </row>
    <row r="9" spans="1:8" x14ac:dyDescent="0.2">
      <c r="A9" s="13" t="s">
        <v>28</v>
      </c>
      <c r="B9" s="15">
        <v>475.8</v>
      </c>
      <c r="C9" s="69">
        <v>52</v>
      </c>
      <c r="D9" s="40">
        <v>27424</v>
      </c>
    </row>
    <row r="10" spans="1:8" x14ac:dyDescent="0.2">
      <c r="A10" s="13" t="s">
        <v>29</v>
      </c>
      <c r="B10" s="15">
        <v>463.2</v>
      </c>
      <c r="C10" s="69">
        <v>122</v>
      </c>
      <c r="D10" s="40">
        <v>29813</v>
      </c>
    </row>
    <row r="11" spans="1:8" x14ac:dyDescent="0.2">
      <c r="A11" s="13" t="s">
        <v>30</v>
      </c>
      <c r="B11" s="15">
        <v>469</v>
      </c>
      <c r="C11" s="69">
        <v>265</v>
      </c>
      <c r="D11" s="40">
        <v>34425</v>
      </c>
    </row>
    <row r="12" spans="1:8" x14ac:dyDescent="0.2">
      <c r="A12" s="13" t="s">
        <v>31</v>
      </c>
      <c r="B12" s="15">
        <v>479.3</v>
      </c>
      <c r="C12" s="69">
        <v>220</v>
      </c>
      <c r="D12" s="40">
        <v>36010</v>
      </c>
    </row>
    <row r="13" spans="1:8" x14ac:dyDescent="0.2">
      <c r="A13" s="13" t="s">
        <v>32</v>
      </c>
      <c r="B13" s="15">
        <v>471.8</v>
      </c>
      <c r="C13" s="69">
        <v>194</v>
      </c>
      <c r="D13" s="40">
        <v>36450</v>
      </c>
    </row>
    <row r="14" spans="1:8" x14ac:dyDescent="0.2">
      <c r="A14" s="13" t="s">
        <v>33</v>
      </c>
      <c r="B14" s="15">
        <v>458.6</v>
      </c>
      <c r="C14" s="69">
        <v>235</v>
      </c>
      <c r="D14" s="40">
        <v>37004</v>
      </c>
    </row>
    <row r="15" spans="1:8" x14ac:dyDescent="0.2">
      <c r="A15" s="13" t="s">
        <v>34</v>
      </c>
      <c r="B15" s="15">
        <v>431.9</v>
      </c>
      <c r="C15" s="69">
        <v>220</v>
      </c>
      <c r="D15" s="40">
        <v>38329</v>
      </c>
    </row>
    <row r="16" spans="1:8" x14ac:dyDescent="0.2">
      <c r="A16" s="13" t="s">
        <v>35</v>
      </c>
      <c r="B16" s="15">
        <v>404.5</v>
      </c>
      <c r="C16" s="69">
        <v>203</v>
      </c>
      <c r="D16" s="40">
        <v>41340</v>
      </c>
    </row>
    <row r="17" spans="1:4" x14ac:dyDescent="0.2">
      <c r="A17" s="13" t="s">
        <v>36</v>
      </c>
      <c r="B17" s="15">
        <v>387.1</v>
      </c>
      <c r="C17" s="69">
        <v>275</v>
      </c>
      <c r="D17" s="40">
        <v>41502</v>
      </c>
    </row>
    <row r="18" spans="1:4" x14ac:dyDescent="0.2">
      <c r="A18" s="13" t="s">
        <v>37</v>
      </c>
      <c r="B18" s="15">
        <v>387.8</v>
      </c>
      <c r="C18" s="69">
        <v>181</v>
      </c>
      <c r="D18" s="40">
        <v>43982</v>
      </c>
    </row>
    <row r="19" spans="1:4" x14ac:dyDescent="0.2">
      <c r="A19" s="13" t="s">
        <v>38</v>
      </c>
      <c r="B19" s="15">
        <v>369.1</v>
      </c>
      <c r="C19" s="69">
        <v>150</v>
      </c>
      <c r="D19" s="40">
        <v>47055</v>
      </c>
    </row>
    <row r="20" spans="1:4" x14ac:dyDescent="0.2">
      <c r="A20" s="13" t="s">
        <v>39</v>
      </c>
      <c r="B20" s="15">
        <v>361.6</v>
      </c>
      <c r="C20" s="69">
        <v>106</v>
      </c>
      <c r="D20" s="40">
        <v>52404</v>
      </c>
    </row>
    <row r="21" spans="1:4" x14ac:dyDescent="0.2">
      <c r="A21" s="13" t="s">
        <v>40</v>
      </c>
      <c r="B21" s="15">
        <v>373.7</v>
      </c>
      <c r="C21" s="69">
        <v>126</v>
      </c>
      <c r="D21" s="40">
        <v>63632</v>
      </c>
    </row>
    <row r="22" spans="1:4" x14ac:dyDescent="0.2">
      <c r="A22" s="13" t="s">
        <v>41</v>
      </c>
      <c r="B22" s="15">
        <v>386.6</v>
      </c>
      <c r="C22" s="69">
        <v>102</v>
      </c>
      <c r="D22" s="40">
        <v>70237</v>
      </c>
    </row>
    <row r="23" spans="1:4" x14ac:dyDescent="0.2">
      <c r="A23" s="13" t="s">
        <v>42</v>
      </c>
      <c r="B23" s="15">
        <v>383.8</v>
      </c>
      <c r="C23" s="69">
        <v>115</v>
      </c>
      <c r="D23" s="40">
        <v>67367</v>
      </c>
    </row>
    <row r="24" spans="1:4" x14ac:dyDescent="0.2">
      <c r="A24" s="13" t="s">
        <v>339</v>
      </c>
      <c r="B24" s="15">
        <v>370.4</v>
      </c>
      <c r="C24" s="69">
        <v>173</v>
      </c>
      <c r="D24" s="40">
        <v>70630</v>
      </c>
    </row>
    <row r="25" spans="1:4" x14ac:dyDescent="0.2">
      <c r="A25" s="13" t="s">
        <v>44</v>
      </c>
      <c r="B25" s="15">
        <v>366.7</v>
      </c>
      <c r="C25" s="69">
        <v>564</v>
      </c>
      <c r="D25" s="40">
        <v>91799</v>
      </c>
    </row>
    <row r="26" spans="1:4" x14ac:dyDescent="0.2">
      <c r="C26" s="69"/>
      <c r="D26" s="47"/>
    </row>
    <row r="28" spans="1:4" x14ac:dyDescent="0.2">
      <c r="A28" s="13" t="s">
        <v>367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4BFDB-E740-294D-9380-A353C0CA1EFA}">
  <dimension ref="A1:B21"/>
  <sheetViews>
    <sheetView workbookViewId="0">
      <selection activeCell="A2" sqref="A2"/>
    </sheetView>
  </sheetViews>
  <sheetFormatPr baseColWidth="10" defaultRowHeight="16" x14ac:dyDescent="0.2"/>
  <sheetData>
    <row r="1" spans="1:2" ht="40" x14ac:dyDescent="0.2">
      <c r="A1" s="10" t="s">
        <v>5</v>
      </c>
      <c r="B1" s="12" t="s">
        <v>8</v>
      </c>
    </row>
    <row r="2" spans="1:2" x14ac:dyDescent="0.2">
      <c r="A2" s="13">
        <v>2000</v>
      </c>
      <c r="B2" s="15">
        <v>506.5</v>
      </c>
    </row>
    <row r="3" spans="1:2" x14ac:dyDescent="0.2">
      <c r="A3" s="13" t="s">
        <v>338</v>
      </c>
      <c r="B3" s="15">
        <v>504.5</v>
      </c>
    </row>
    <row r="4" spans="1:2" x14ac:dyDescent="0.2">
      <c r="A4" s="13">
        <v>2002</v>
      </c>
      <c r="B4" s="15">
        <v>494.4</v>
      </c>
    </row>
    <row r="5" spans="1:2" x14ac:dyDescent="0.2">
      <c r="A5" s="13" t="s">
        <v>28</v>
      </c>
      <c r="B5" s="15">
        <v>475.8</v>
      </c>
    </row>
    <row r="6" spans="1:2" x14ac:dyDescent="0.2">
      <c r="A6" s="13" t="s">
        <v>29</v>
      </c>
      <c r="B6" s="15">
        <v>463.2</v>
      </c>
    </row>
    <row r="7" spans="1:2" x14ac:dyDescent="0.2">
      <c r="A7" s="13" t="s">
        <v>30</v>
      </c>
      <c r="B7" s="15">
        <v>469</v>
      </c>
    </row>
    <row r="8" spans="1:2" x14ac:dyDescent="0.2">
      <c r="A8" s="13" t="s">
        <v>31</v>
      </c>
      <c r="B8" s="15">
        <v>479.3</v>
      </c>
    </row>
    <row r="9" spans="1:2" x14ac:dyDescent="0.2">
      <c r="A9" s="13" t="s">
        <v>32</v>
      </c>
      <c r="B9" s="15">
        <v>471.8</v>
      </c>
    </row>
    <row r="10" spans="1:2" x14ac:dyDescent="0.2">
      <c r="A10" s="13" t="s">
        <v>33</v>
      </c>
      <c r="B10" s="15">
        <v>458.6</v>
      </c>
    </row>
    <row r="11" spans="1:2" x14ac:dyDescent="0.2">
      <c r="A11" s="13" t="s">
        <v>34</v>
      </c>
      <c r="B11" s="15">
        <v>431.9</v>
      </c>
    </row>
    <row r="12" spans="1:2" x14ac:dyDescent="0.2">
      <c r="A12" s="13" t="s">
        <v>35</v>
      </c>
      <c r="B12" s="15">
        <v>404.5</v>
      </c>
    </row>
    <row r="13" spans="1:2" x14ac:dyDescent="0.2">
      <c r="A13" s="13" t="s">
        <v>36</v>
      </c>
      <c r="B13" s="15">
        <v>387.1</v>
      </c>
    </row>
    <row r="14" spans="1:2" x14ac:dyDescent="0.2">
      <c r="A14" s="13" t="s">
        <v>37</v>
      </c>
      <c r="B14" s="15">
        <v>387.8</v>
      </c>
    </row>
    <row r="15" spans="1:2" x14ac:dyDescent="0.2">
      <c r="A15" s="13" t="s">
        <v>38</v>
      </c>
      <c r="B15" s="15">
        <v>369.1</v>
      </c>
    </row>
    <row r="16" spans="1:2" x14ac:dyDescent="0.2">
      <c r="A16" s="13" t="s">
        <v>39</v>
      </c>
      <c r="B16" s="15">
        <v>361.6</v>
      </c>
    </row>
    <row r="17" spans="1:2" x14ac:dyDescent="0.2">
      <c r="A17" s="13" t="s">
        <v>40</v>
      </c>
      <c r="B17" s="15">
        <v>373.7</v>
      </c>
    </row>
    <row r="18" spans="1:2" x14ac:dyDescent="0.2">
      <c r="A18" s="13" t="s">
        <v>41</v>
      </c>
      <c r="B18" s="15">
        <v>386.6</v>
      </c>
    </row>
    <row r="19" spans="1:2" x14ac:dyDescent="0.2">
      <c r="A19" s="13" t="s">
        <v>42</v>
      </c>
      <c r="B19" s="15">
        <v>383.8</v>
      </c>
    </row>
    <row r="20" spans="1:2" x14ac:dyDescent="0.2">
      <c r="A20" s="13" t="s">
        <v>339</v>
      </c>
      <c r="B20" s="15">
        <v>370.4</v>
      </c>
    </row>
    <row r="21" spans="1:2" x14ac:dyDescent="0.2">
      <c r="A21" s="13" t="s">
        <v>44</v>
      </c>
      <c r="B21" s="15">
        <v>366.7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C968B-A71B-4E49-9595-43678FFEB4F2}">
  <dimension ref="A1:B22"/>
  <sheetViews>
    <sheetView workbookViewId="0">
      <selection activeCell="A2" sqref="A2"/>
    </sheetView>
  </sheetViews>
  <sheetFormatPr baseColWidth="10" defaultRowHeight="16" x14ac:dyDescent="0.2"/>
  <sheetData>
    <row r="1" spans="1:2" x14ac:dyDescent="0.2">
      <c r="A1" s="60" t="s">
        <v>342</v>
      </c>
      <c r="B1" s="29" t="s">
        <v>371</v>
      </c>
    </row>
    <row r="2" spans="1:2" x14ac:dyDescent="0.2">
      <c r="A2" t="s">
        <v>338</v>
      </c>
      <c r="B2" s="34">
        <v>19394</v>
      </c>
    </row>
    <row r="3" spans="1:2" x14ac:dyDescent="0.2">
      <c r="A3" t="s">
        <v>369</v>
      </c>
      <c r="B3" s="40">
        <v>23518</v>
      </c>
    </row>
    <row r="4" spans="1:2" x14ac:dyDescent="0.2">
      <c r="A4" t="s">
        <v>28</v>
      </c>
      <c r="B4" s="40">
        <v>25785</v>
      </c>
    </row>
    <row r="5" spans="1:2" x14ac:dyDescent="0.2">
      <c r="A5" t="s">
        <v>29</v>
      </c>
      <c r="B5" s="40">
        <v>27424</v>
      </c>
    </row>
    <row r="6" spans="1:2" x14ac:dyDescent="0.2">
      <c r="A6" t="s">
        <v>30</v>
      </c>
      <c r="B6" s="40">
        <v>29813</v>
      </c>
    </row>
    <row r="7" spans="1:2" x14ac:dyDescent="0.2">
      <c r="A7" t="s">
        <v>31</v>
      </c>
      <c r="B7" s="40">
        <v>34425</v>
      </c>
    </row>
    <row r="8" spans="1:2" x14ac:dyDescent="0.2">
      <c r="A8" t="s">
        <v>32</v>
      </c>
      <c r="B8" s="40">
        <v>36010</v>
      </c>
    </row>
    <row r="9" spans="1:2" x14ac:dyDescent="0.2">
      <c r="A9" t="s">
        <v>33</v>
      </c>
      <c r="B9" s="40">
        <v>36450</v>
      </c>
    </row>
    <row r="10" spans="1:2" x14ac:dyDescent="0.2">
      <c r="A10" t="s">
        <v>34</v>
      </c>
      <c r="B10" s="40">
        <v>37004</v>
      </c>
    </row>
    <row r="11" spans="1:2" x14ac:dyDescent="0.2">
      <c r="A11" t="s">
        <v>35</v>
      </c>
      <c r="B11" s="40">
        <v>38329</v>
      </c>
    </row>
    <row r="12" spans="1:2" x14ac:dyDescent="0.2">
      <c r="A12" t="s">
        <v>372</v>
      </c>
      <c r="B12" s="40">
        <v>41340</v>
      </c>
    </row>
    <row r="13" spans="1:2" x14ac:dyDescent="0.2">
      <c r="A13" t="s">
        <v>37</v>
      </c>
      <c r="B13" s="40">
        <v>41502</v>
      </c>
    </row>
    <row r="14" spans="1:2" x14ac:dyDescent="0.2">
      <c r="A14" t="s">
        <v>38</v>
      </c>
      <c r="B14" s="40">
        <v>43982</v>
      </c>
    </row>
    <row r="15" spans="1:2" x14ac:dyDescent="0.2">
      <c r="A15" t="s">
        <v>39</v>
      </c>
      <c r="B15" s="40">
        <v>47055</v>
      </c>
    </row>
    <row r="16" spans="1:2" x14ac:dyDescent="0.2">
      <c r="A16" t="s">
        <v>40</v>
      </c>
      <c r="B16" s="40">
        <v>52404</v>
      </c>
    </row>
    <row r="17" spans="1:2" x14ac:dyDescent="0.2">
      <c r="A17" t="s">
        <v>41</v>
      </c>
      <c r="B17" s="40">
        <v>63632</v>
      </c>
    </row>
    <row r="18" spans="1:2" x14ac:dyDescent="0.2">
      <c r="A18" t="s">
        <v>42</v>
      </c>
      <c r="B18" s="40">
        <v>70237</v>
      </c>
    </row>
    <row r="19" spans="1:2" x14ac:dyDescent="0.2">
      <c r="A19" t="s">
        <v>339</v>
      </c>
      <c r="B19" s="40">
        <v>67367</v>
      </c>
    </row>
    <row r="20" spans="1:2" x14ac:dyDescent="0.2">
      <c r="A20" t="s">
        <v>44</v>
      </c>
      <c r="B20" s="40">
        <v>70630</v>
      </c>
    </row>
    <row r="21" spans="1:2" x14ac:dyDescent="0.2">
      <c r="A21" t="s">
        <v>350</v>
      </c>
      <c r="B21" s="40">
        <v>91799</v>
      </c>
    </row>
    <row r="22" spans="1:2" x14ac:dyDescent="0.2">
      <c r="A22" t="s">
        <v>351</v>
      </c>
      <c r="B22" s="47">
        <v>106699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83790-F6DC-9C41-AB56-63DB77CF6270}">
  <dimension ref="A1:B22"/>
  <sheetViews>
    <sheetView workbookViewId="0">
      <selection sqref="A1:B22"/>
    </sheetView>
  </sheetViews>
  <sheetFormatPr baseColWidth="10" defaultRowHeight="16" x14ac:dyDescent="0.2"/>
  <sheetData>
    <row r="1" spans="1:2" x14ac:dyDescent="0.2">
      <c r="A1" t="s">
        <v>342</v>
      </c>
      <c r="B1" t="s">
        <v>361</v>
      </c>
    </row>
    <row r="2" spans="1:2" x14ac:dyDescent="0.2">
      <c r="A2" s="68">
        <v>2004</v>
      </c>
      <c r="B2" s="69">
        <v>0</v>
      </c>
    </row>
    <row r="3" spans="1:2" x14ac:dyDescent="0.2">
      <c r="A3" s="68">
        <v>2005</v>
      </c>
      <c r="B3" s="69">
        <v>0.5</v>
      </c>
    </row>
    <row r="4" spans="1:2" x14ac:dyDescent="0.2">
      <c r="A4" s="68">
        <v>2006</v>
      </c>
      <c r="B4" s="69">
        <v>15</v>
      </c>
    </row>
    <row r="5" spans="1:2" x14ac:dyDescent="0.2">
      <c r="A5" s="68">
        <v>2007</v>
      </c>
      <c r="B5" s="69">
        <v>52</v>
      </c>
    </row>
    <row r="6" spans="1:2" x14ac:dyDescent="0.2">
      <c r="A6" s="68">
        <v>2008</v>
      </c>
      <c r="B6" s="69">
        <v>122</v>
      </c>
    </row>
    <row r="7" spans="1:2" x14ac:dyDescent="0.2">
      <c r="A7" s="68">
        <v>2009</v>
      </c>
      <c r="B7" s="69">
        <v>265</v>
      </c>
    </row>
    <row r="8" spans="1:2" x14ac:dyDescent="0.2">
      <c r="A8" s="68">
        <v>2010</v>
      </c>
      <c r="B8" s="69">
        <v>220</v>
      </c>
    </row>
    <row r="9" spans="1:2" x14ac:dyDescent="0.2">
      <c r="A9" s="68">
        <v>2011</v>
      </c>
      <c r="B9" s="69">
        <v>194</v>
      </c>
    </row>
    <row r="10" spans="1:2" x14ac:dyDescent="0.2">
      <c r="A10" s="68">
        <v>2012</v>
      </c>
      <c r="B10" s="69">
        <v>235</v>
      </c>
    </row>
    <row r="11" spans="1:2" x14ac:dyDescent="0.2">
      <c r="A11" s="68">
        <v>2013</v>
      </c>
      <c r="B11" s="69">
        <v>220</v>
      </c>
    </row>
    <row r="12" spans="1:2" x14ac:dyDescent="0.2">
      <c r="A12" s="68">
        <v>2014</v>
      </c>
      <c r="B12" s="69">
        <v>203</v>
      </c>
    </row>
    <row r="13" spans="1:2" x14ac:dyDescent="0.2">
      <c r="A13" s="68">
        <v>2015</v>
      </c>
      <c r="B13" s="69">
        <v>275</v>
      </c>
    </row>
    <row r="14" spans="1:2" x14ac:dyDescent="0.2">
      <c r="A14" s="68">
        <v>2016</v>
      </c>
      <c r="B14" s="69">
        <v>181</v>
      </c>
    </row>
    <row r="15" spans="1:2" x14ac:dyDescent="0.2">
      <c r="A15" s="68">
        <v>2017</v>
      </c>
      <c r="B15" s="69">
        <v>150</v>
      </c>
    </row>
    <row r="16" spans="1:2" x14ac:dyDescent="0.2">
      <c r="A16" s="68">
        <v>2018</v>
      </c>
      <c r="B16" s="69">
        <v>106</v>
      </c>
    </row>
    <row r="17" spans="1:2" x14ac:dyDescent="0.2">
      <c r="A17" s="68">
        <v>2019</v>
      </c>
      <c r="B17" s="69">
        <v>126</v>
      </c>
    </row>
    <row r="18" spans="1:2" x14ac:dyDescent="0.2">
      <c r="A18" s="68">
        <v>2020</v>
      </c>
      <c r="B18" s="69">
        <v>102</v>
      </c>
    </row>
    <row r="19" spans="1:2" x14ac:dyDescent="0.2">
      <c r="A19" s="68">
        <v>2021</v>
      </c>
      <c r="B19" s="69">
        <v>115</v>
      </c>
    </row>
    <row r="20" spans="1:2" x14ac:dyDescent="0.2">
      <c r="A20" s="68">
        <v>2022</v>
      </c>
      <c r="B20" s="69">
        <v>173</v>
      </c>
    </row>
    <row r="21" spans="1:2" x14ac:dyDescent="0.2">
      <c r="A21" s="68">
        <v>2023</v>
      </c>
      <c r="B21" s="69">
        <v>564</v>
      </c>
    </row>
    <row r="22" spans="1:2" x14ac:dyDescent="0.2">
      <c r="A22" s="68">
        <v>2024</v>
      </c>
      <c r="B22" s="69">
        <v>465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F3842-920D-0B43-8FC5-810335891589}">
  <dimension ref="A3:D23"/>
  <sheetViews>
    <sheetView topLeftCell="A2" workbookViewId="0">
      <selection activeCell="I30" sqref="I30"/>
    </sheetView>
  </sheetViews>
  <sheetFormatPr baseColWidth="10" defaultRowHeight="16" x14ac:dyDescent="0.2"/>
  <sheetData>
    <row r="3" spans="1:4" ht="40" x14ac:dyDescent="0.2">
      <c r="A3" s="10" t="s">
        <v>5</v>
      </c>
      <c r="B3" s="12" t="s">
        <v>8</v>
      </c>
      <c r="C3" s="12" t="s">
        <v>366</v>
      </c>
      <c r="D3" s="70" t="s">
        <v>365</v>
      </c>
    </row>
    <row r="4" spans="1:4" x14ac:dyDescent="0.2">
      <c r="A4" s="13">
        <v>2000</v>
      </c>
      <c r="B4" s="15">
        <v>506.5</v>
      </c>
      <c r="C4" s="69">
        <v>0</v>
      </c>
      <c r="D4" s="34">
        <v>19394</v>
      </c>
    </row>
    <row r="5" spans="1:4" x14ac:dyDescent="0.2">
      <c r="A5" s="13" t="s">
        <v>338</v>
      </c>
      <c r="B5" s="15">
        <v>504.5</v>
      </c>
      <c r="C5" s="69">
        <v>0.5</v>
      </c>
      <c r="D5" s="40">
        <v>23518</v>
      </c>
    </row>
    <row r="6" spans="1:4" x14ac:dyDescent="0.2">
      <c r="A6" s="13">
        <v>2002</v>
      </c>
      <c r="B6" s="15">
        <v>494.4</v>
      </c>
      <c r="C6" s="69">
        <v>15</v>
      </c>
      <c r="D6" s="40">
        <v>25785</v>
      </c>
    </row>
    <row r="7" spans="1:4" x14ac:dyDescent="0.2">
      <c r="A7" s="13" t="s">
        <v>28</v>
      </c>
      <c r="B7" s="15">
        <v>475.8</v>
      </c>
      <c r="C7" s="69">
        <v>52</v>
      </c>
      <c r="D7" s="40">
        <v>27424</v>
      </c>
    </row>
    <row r="8" spans="1:4" x14ac:dyDescent="0.2">
      <c r="A8" s="13" t="s">
        <v>29</v>
      </c>
      <c r="B8" s="15">
        <v>463.2</v>
      </c>
      <c r="C8" s="69">
        <v>122</v>
      </c>
      <c r="D8" s="40">
        <v>29813</v>
      </c>
    </row>
    <row r="9" spans="1:4" x14ac:dyDescent="0.2">
      <c r="A9" s="13" t="s">
        <v>30</v>
      </c>
      <c r="B9" s="15">
        <v>469</v>
      </c>
      <c r="C9" s="69">
        <v>265</v>
      </c>
      <c r="D9" s="40">
        <v>34425</v>
      </c>
    </row>
    <row r="10" spans="1:4" x14ac:dyDescent="0.2">
      <c r="A10" s="13" t="s">
        <v>31</v>
      </c>
      <c r="B10" s="15">
        <v>479.3</v>
      </c>
      <c r="C10" s="69">
        <v>220</v>
      </c>
      <c r="D10" s="40">
        <v>36010</v>
      </c>
    </row>
    <row r="11" spans="1:4" x14ac:dyDescent="0.2">
      <c r="A11" s="13" t="s">
        <v>32</v>
      </c>
      <c r="B11" s="15">
        <v>471.8</v>
      </c>
      <c r="C11" s="69">
        <v>194</v>
      </c>
      <c r="D11" s="40">
        <v>36450</v>
      </c>
    </row>
    <row r="12" spans="1:4" x14ac:dyDescent="0.2">
      <c r="A12" s="13" t="s">
        <v>33</v>
      </c>
      <c r="B12" s="15">
        <v>458.6</v>
      </c>
      <c r="C12" s="69">
        <v>235</v>
      </c>
      <c r="D12" s="40">
        <v>37004</v>
      </c>
    </row>
    <row r="13" spans="1:4" x14ac:dyDescent="0.2">
      <c r="A13" s="13" t="s">
        <v>34</v>
      </c>
      <c r="B13" s="15">
        <v>431.9</v>
      </c>
      <c r="C13" s="69">
        <v>220</v>
      </c>
      <c r="D13" s="40">
        <v>38329</v>
      </c>
    </row>
    <row r="14" spans="1:4" x14ac:dyDescent="0.2">
      <c r="A14" s="13" t="s">
        <v>35</v>
      </c>
      <c r="B14" s="15">
        <v>404.5</v>
      </c>
      <c r="C14" s="69">
        <v>203</v>
      </c>
      <c r="D14" s="40">
        <v>41340</v>
      </c>
    </row>
    <row r="15" spans="1:4" x14ac:dyDescent="0.2">
      <c r="A15" s="13" t="s">
        <v>36</v>
      </c>
      <c r="B15" s="15">
        <v>387.1</v>
      </c>
      <c r="C15" s="69">
        <v>275</v>
      </c>
      <c r="D15" s="40">
        <v>41502</v>
      </c>
    </row>
    <row r="16" spans="1:4" x14ac:dyDescent="0.2">
      <c r="A16" s="13" t="s">
        <v>37</v>
      </c>
      <c r="B16" s="15">
        <v>387.8</v>
      </c>
      <c r="C16" s="69">
        <v>181</v>
      </c>
      <c r="D16" s="40">
        <v>43982</v>
      </c>
    </row>
    <row r="17" spans="1:4" x14ac:dyDescent="0.2">
      <c r="A17" s="13" t="s">
        <v>38</v>
      </c>
      <c r="B17" s="15">
        <v>369.1</v>
      </c>
      <c r="C17" s="69">
        <v>150</v>
      </c>
      <c r="D17" s="40">
        <v>47055</v>
      </c>
    </row>
    <row r="18" spans="1:4" x14ac:dyDescent="0.2">
      <c r="A18" s="13" t="s">
        <v>39</v>
      </c>
      <c r="B18" s="15">
        <v>361.6</v>
      </c>
      <c r="C18" s="69">
        <v>106</v>
      </c>
      <c r="D18" s="40">
        <v>52404</v>
      </c>
    </row>
    <row r="19" spans="1:4" x14ac:dyDescent="0.2">
      <c r="A19" s="13" t="s">
        <v>40</v>
      </c>
      <c r="B19" s="15">
        <v>373.7</v>
      </c>
      <c r="C19" s="69">
        <v>126</v>
      </c>
      <c r="D19" s="40">
        <v>63632</v>
      </c>
    </row>
    <row r="20" spans="1:4" x14ac:dyDescent="0.2">
      <c r="A20" s="13" t="s">
        <v>41</v>
      </c>
      <c r="B20" s="15">
        <v>386.6</v>
      </c>
      <c r="C20" s="69">
        <v>102</v>
      </c>
      <c r="D20" s="40">
        <v>70237</v>
      </c>
    </row>
    <row r="21" spans="1:4" x14ac:dyDescent="0.2">
      <c r="A21" s="13" t="s">
        <v>42</v>
      </c>
      <c r="B21" s="15">
        <v>383.8</v>
      </c>
      <c r="C21" s="69">
        <v>115</v>
      </c>
      <c r="D21" s="40">
        <v>67367</v>
      </c>
    </row>
    <row r="22" spans="1:4" x14ac:dyDescent="0.2">
      <c r="A22" s="13" t="s">
        <v>339</v>
      </c>
      <c r="B22" s="15">
        <v>370.4</v>
      </c>
      <c r="C22" s="69">
        <v>173</v>
      </c>
      <c r="D22" s="40">
        <v>70630</v>
      </c>
    </row>
    <row r="23" spans="1:4" x14ac:dyDescent="0.2">
      <c r="A23" s="13" t="s">
        <v>44</v>
      </c>
      <c r="B23" s="15">
        <v>366.7</v>
      </c>
      <c r="C23" s="69">
        <v>564</v>
      </c>
      <c r="D23" s="40">
        <v>91799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A452CA-1EF2-9E4C-9E05-247AFBDFDB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Planned STEPS</vt:lpstr>
      <vt:lpstr>FBI_CRIME</vt:lpstr>
      <vt:lpstr>Drugs</vt:lpstr>
      <vt:lpstr>Taylor_Swift_Interest</vt:lpstr>
      <vt:lpstr>Joined Table Manually </vt:lpstr>
      <vt:lpstr>CLEAN_CRIME</vt:lpstr>
      <vt:lpstr>CLEAN_DRUGS</vt:lpstr>
      <vt:lpstr>CLEAN_TS_INTEREST</vt:lpstr>
      <vt:lpstr>Visualizations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Brandon Malady</dc:creator>
  <cp:lastModifiedBy>Brandon Malady</cp:lastModifiedBy>
  <dcterms:created xsi:type="dcterms:W3CDTF">2024-12-02T16:36:45Z</dcterms:created>
  <dcterms:modified xsi:type="dcterms:W3CDTF">2024-12-02T20:33:53Z</dcterms:modified>
</cp:coreProperties>
</file>